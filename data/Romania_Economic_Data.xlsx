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er Confidence" sheetId="1" state="visible" r:id="rId3"/>
    <sheet name="Consumer Spending" sheetId="2" state="visible" r:id="rId4"/>
  </sheets>
  <definedNames>
    <definedName function="false" hidden="true" localSheetId="0" name="_xlnm._FilterDatabase" vbProcedure="false">'Consumer Confidence'!$A$5:$C$66</definedName>
    <definedName function="false" hidden="true" localSheetId="1" name="_xlnm._FilterDatabase" vbProcedure="false">'Consumer Spending'!$A$5:$D$26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<sst xmlns="http://schemas.openxmlformats.org/spreadsheetml/2006/main" count="95" uniqueCount="94">
  <si>
    <t xml:space="preserve">Romania Consumer Confidence (points)</t>
  </si>
  <si>
    <t xml:space="preserve">Source: tradingeconomics.com | European Commission</t>
  </si>
  <si>
    <t xml:space="preserve">Note: Values extracted from SVG chart; may differ slightly from official data.</t>
  </si>
  <si>
    <t xml:space="preserve">Date</t>
  </si>
  <si>
    <t xml:space="preserve">Month</t>
  </si>
  <si>
    <t xml:space="preserve">Consumer Confidence (points)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</si>
  <si>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</si>
  <si>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</si>
  <si>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</si>
  <si>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</si>
  <si>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</si>
  <si>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</si>
  <si>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</si>
  <si>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</si>
  <si>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</si>
  <si>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</si>
  <si>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</si>
  <si>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</si>
  <si>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</si>
  <si>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</si>
  <si>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</si>
  <si>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</si>
  <si>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</si>
  <si>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</si>
  <si>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</si>
  <si>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</si>
  <si>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</si>
  <si>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</si>
  <si>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</si>
  <si>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</si>
  <si>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</si>
  <si>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</si>
  <si>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</si>
  <si>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</si>
  <si>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</si>
  <si>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</si>
  <si>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</si>
  <si>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</si>
  <si>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</si>
  <si>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</si>
  <si>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</si>
  <si>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</si>
  <si>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</si>
  <si>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</si>
  <si>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</si>
  <si>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</si>
  <si>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</si>
  <si>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</si>
  <si>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</si>
  <si>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</si>
  <si>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</si>
  <si>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</si>
  <si>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</si>
  <si>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</si>
  <si>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</si>
  <si>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</si>
  <si>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</si>
  <si>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</si>
  <si>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</si>
  <si>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</si>
  <si>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</si>
  <si>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</si>
  <si>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</si>
  <si>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</si>
  <si>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</si>
  <si>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</si>
  <si>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</si>
  <si>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Romania Consumer Spending (RON Million)</t>
  </si>
  <si>
    <t xml:space="preserve">Source: tradingeconomics.com | Institutul National de Statistica</t>
  </si>
  <si>
    <t xml:space="preserve">Quarter Start Date</t>
  </si>
  <si>
    <t xml:space="preserve">Quarter</t>
  </si>
  <si>
    <t xml:space="preserve">Consumer Spending (RON Million)</t>
  </si>
  <si>
    <t xml:space="preserve">QoQ Change</t>
  </si>
  <si>
    <t xml:space="preserve">Q1 2020</t>
  </si>
  <si>
    <t xml:space="preserve">Q2 2020</t>
  </si>
  <si>
    <t xml:space="preserve">Q3 2020</t>
  </si>
  <si>
    <t xml:space="preserve">Q4 2020</t>
  </si>
  <si>
    <t xml:space="preserve">Q1 2021</t>
  </si>
  <si>
    <t xml:space="preserve">Q2 2021</t>
  </si>
  <si>
    <t xml:space="preserve">Q3 2021</t>
  </si>
  <si>
    <t xml:space="preserve">Q4 2021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</si>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</sst>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CE5CD"/>
        <bgColor rgb="FFF4CCCC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n">
        <v>44197</v>
      </c>
      <c r="B6" s="6" t="s">
        <v>6</v>
      </c>
      <c r="C6" s="7" t="n">
        <v>-17.3</v>
      </c>
    </row>
    <row r="7" customFormat="false" ht="15" hidden="false" customHeight="false" outlineLevel="0" collapsed="false">
      <c r="A7" s="5" t="n">
        <v>44228</v>
      </c>
      <c r="B7" s="6" t="s">
        <v>7</v>
      </c>
      <c r="C7" s="7" t="n">
        <v>-16.9</v>
      </c>
    </row>
    <row r="8" customFormat="false" ht="15" hidden="false" customHeight="false" outlineLevel="0" collapsed="false">
      <c r="A8" s="5" t="n">
        <v>44256</v>
      </c>
      <c r="B8" s="6" t="s">
        <v>8</v>
      </c>
      <c r="C8" s="7" t="n">
        <v>-15.9</v>
      </c>
    </row>
    <row r="9" customFormat="false" ht="15" hidden="false" customHeight="false" outlineLevel="0" collapsed="false">
      <c r="A9" s="5" t="n">
        <v>44287</v>
      </c>
      <c r="B9" s="6" t="s">
        <v>9</v>
      </c>
      <c r="C9" s="7" t="n">
        <v>-9.1</v>
      </c>
    </row>
    <row r="10" customFormat="false" ht="15" hidden="false" customHeight="false" outlineLevel="0" collapsed="false">
      <c r="A10" s="5" t="n">
        <v>44317</v>
      </c>
      <c r="B10" s="6" t="s">
        <v>10</v>
      </c>
      <c r="C10" s="7" t="n">
        <v>-7.9</v>
      </c>
    </row>
    <row r="11" customFormat="false" ht="15" hidden="false" customHeight="false" outlineLevel="0" collapsed="false">
      <c r="A11" s="5" t="n">
        <v>44348</v>
      </c>
      <c r="B11" s="6" t="s">
        <v>11</v>
      </c>
      <c r="C11" s="7" t="n">
        <v>-9.5</v>
      </c>
    </row>
    <row r="12" customFormat="false" ht="15" hidden="false" customHeight="false" outlineLevel="0" collapsed="false">
      <c r="A12" s="5" t="n">
        <v>44378</v>
      </c>
      <c r="B12" s="6" t="s">
        <v>12</v>
      </c>
      <c r="C12" s="7" t="n">
        <v>-11.6</v>
      </c>
    </row>
    <row r="13" customFormat="false" ht="15" hidden="false" customHeight="false" outlineLevel="0" collapsed="false">
      <c r="A13" s="5" t="n">
        <v>44409</v>
      </c>
      <c r="B13" s="6" t="s">
        <v>13</v>
      </c>
      <c r="C13" s="7" t="n">
        <v>-12.3</v>
      </c>
    </row>
    <row r="14" customFormat="false" ht="15" hidden="false" customHeight="false" outlineLevel="0" collapsed="false">
      <c r="A14" s="5" t="n">
        <v>44440</v>
      </c>
      <c r="B14" s="6" t="s">
        <v>14</v>
      </c>
      <c r="C14" s="7" t="n">
        <v>-14.5</v>
      </c>
    </row>
    <row r="15" customFormat="false" ht="15" hidden="false" customHeight="false" outlineLevel="0" collapsed="false">
      <c r="A15" s="5" t="n">
        <v>44470</v>
      </c>
      <c r="B15" s="6" t="s">
        <v>15</v>
      </c>
      <c r="C15" s="7" t="n">
        <v>-17.6</v>
      </c>
    </row>
    <row r="16" customFormat="false" ht="15" hidden="false" customHeight="false" outlineLevel="0" collapsed="false">
      <c r="A16" s="5" t="n">
        <v>44501</v>
      </c>
      <c r="B16" s="6" t="s">
        <v>16</v>
      </c>
      <c r="C16" s="8" t="n">
        <v>-20.5</v>
      </c>
    </row>
    <row r="17" customFormat="false" ht="15" hidden="false" customHeight="false" outlineLevel="0" collapsed="false">
      <c r="A17" s="5" t="n">
        <v>44531</v>
      </c>
      <c r="B17" s="6" t="s">
        <v>17</v>
      </c>
      <c r="C17" s="8" t="n">
        <v>-21.9</v>
      </c>
    </row>
    <row r="18" customFormat="false" ht="15" hidden="false" customHeight="false" outlineLevel="0" collapsed="false">
      <c r="A18" s="5" t="n">
        <v>44562</v>
      </c>
      <c r="B18" s="6" t="s">
        <v>18</v>
      </c>
      <c r="C18" s="8" t="n">
        <v>-24</v>
      </c>
    </row>
    <row r="19" customFormat="false" ht="15" hidden="false" customHeight="false" outlineLevel="0" collapsed="false">
      <c r="A19" s="5" t="n">
        <v>44593</v>
      </c>
      <c r="B19" s="6" t="s">
        <v>19</v>
      </c>
      <c r="C19" s="8" t="n">
        <v>-21.9</v>
      </c>
    </row>
    <row r="20" customFormat="false" ht="15" hidden="false" customHeight="false" outlineLevel="0" collapsed="false">
      <c r="A20" s="5" t="n">
        <v>44621</v>
      </c>
      <c r="B20" s="6" t="s">
        <v>20</v>
      </c>
      <c r="C20" s="8" t="n">
        <v>-27.2</v>
      </c>
    </row>
    <row r="21" customFormat="false" ht="15" hidden="false" customHeight="false" outlineLevel="0" collapsed="false">
      <c r="A21" s="5" t="n">
        <v>44652</v>
      </c>
      <c r="B21" s="6" t="s">
        <v>21</v>
      </c>
      <c r="C21" s="8" t="n">
        <v>-29.6</v>
      </c>
    </row>
    <row r="22" customFormat="false" ht="15" hidden="false" customHeight="false" outlineLevel="0" collapsed="false">
      <c r="A22" s="5" t="n">
        <v>44682</v>
      </c>
      <c r="B22" s="6" t="s">
        <v>22</v>
      </c>
      <c r="C22" s="9" t="n">
        <v>-31.7</v>
      </c>
    </row>
    <row r="23" customFormat="false" ht="15" hidden="false" customHeight="false" outlineLevel="0" collapsed="false">
      <c r="A23" s="5" t="n">
        <v>44713</v>
      </c>
      <c r="B23" s="6" t="s">
        <v>23</v>
      </c>
      <c r="C23" s="9" t="n">
        <v>-33</v>
      </c>
    </row>
    <row r="24" customFormat="false" ht="15" hidden="false" customHeight="false" outlineLevel="0" collapsed="false">
      <c r="A24" s="5" t="n">
        <v>44743</v>
      </c>
      <c r="B24" s="6" t="s">
        <v>24</v>
      </c>
      <c r="C24" s="8" t="n">
        <v>-29.7</v>
      </c>
    </row>
    <row r="25" customFormat="false" ht="15" hidden="false" customHeight="false" outlineLevel="0" collapsed="false">
      <c r="A25" s="5" t="n">
        <v>44774</v>
      </c>
      <c r="B25" s="6" t="s">
        <v>25</v>
      </c>
      <c r="C25" s="9" t="n">
        <v>-30.5</v>
      </c>
    </row>
    <row r="26" customFormat="false" ht="15" hidden="false" customHeight="false" outlineLevel="0" collapsed="false">
      <c r="A26" s="5" t="n">
        <v>44805</v>
      </c>
      <c r="B26" s="6" t="s">
        <v>26</v>
      </c>
      <c r="C26" s="9" t="n">
        <v>-31.1</v>
      </c>
    </row>
    <row r="27" customFormat="false" ht="15" hidden="false" customHeight="false" outlineLevel="0" collapsed="false">
      <c r="A27" s="5" t="n">
        <v>44835</v>
      </c>
      <c r="B27" s="6" t="s">
        <v>27</v>
      </c>
      <c r="C27" s="9" t="n">
        <v>-30.5</v>
      </c>
    </row>
    <row r="28" customFormat="false" ht="15" hidden="false" customHeight="false" outlineLevel="0" collapsed="false">
      <c r="A28" s="5" t="n">
        <v>44866</v>
      </c>
      <c r="B28" s="6" t="s">
        <v>28</v>
      </c>
      <c r="C28" s="9" t="n">
        <v>-31.9</v>
      </c>
    </row>
    <row r="29" customFormat="false" ht="15" hidden="false" customHeight="false" outlineLevel="0" collapsed="false">
      <c r="A29" s="5" t="n">
        <v>44896</v>
      </c>
      <c r="B29" s="6" t="s">
        <v>29</v>
      </c>
      <c r="C29" s="9" t="n">
        <v>-31.4</v>
      </c>
    </row>
    <row r="30" customFormat="false" ht="15" hidden="false" customHeight="false" outlineLevel="0" collapsed="false">
      <c r="A30" s="5" t="n">
        <v>44927</v>
      </c>
      <c r="B30" s="6" t="s">
        <v>30</v>
      </c>
      <c r="C30" s="8" t="n">
        <v>-29.1</v>
      </c>
    </row>
    <row r="31" customFormat="false" ht="15" hidden="false" customHeight="false" outlineLevel="0" collapsed="false">
      <c r="A31" s="5" t="n">
        <v>44958</v>
      </c>
      <c r="B31" s="6" t="s">
        <v>31</v>
      </c>
      <c r="C31" s="8" t="n">
        <v>-27.3</v>
      </c>
    </row>
    <row r="32" customFormat="false" ht="15" hidden="false" customHeight="false" outlineLevel="0" collapsed="false">
      <c r="A32" s="5" t="n">
        <v>44986</v>
      </c>
      <c r="B32" s="6" t="s">
        <v>32</v>
      </c>
      <c r="C32" s="8" t="n">
        <v>-25.1</v>
      </c>
    </row>
    <row r="33" customFormat="false" ht="15" hidden="false" customHeight="false" outlineLevel="0" collapsed="false">
      <c r="A33" s="5" t="n">
        <v>45017</v>
      </c>
      <c r="B33" s="6" t="s">
        <v>33</v>
      </c>
      <c r="C33" s="8" t="n">
        <v>-22.3</v>
      </c>
    </row>
    <row r="34" customFormat="false" ht="15" hidden="false" customHeight="false" outlineLevel="0" collapsed="false">
      <c r="A34" s="5" t="n">
        <v>45047</v>
      </c>
      <c r="B34" s="6" t="s">
        <v>34</v>
      </c>
      <c r="C34" s="8" t="n">
        <v>-20.1</v>
      </c>
    </row>
    <row r="35" customFormat="false" ht="15" hidden="false" customHeight="false" outlineLevel="0" collapsed="false">
      <c r="A35" s="5" t="n">
        <v>45078</v>
      </c>
      <c r="B35" s="6" t="s">
        <v>35</v>
      </c>
      <c r="C35" s="7" t="n">
        <v>-17.7</v>
      </c>
    </row>
    <row r="36" customFormat="false" ht="15" hidden="false" customHeight="false" outlineLevel="0" collapsed="false">
      <c r="A36" s="5" t="n">
        <v>45108</v>
      </c>
      <c r="B36" s="6" t="s">
        <v>36</v>
      </c>
      <c r="C36" s="7" t="n">
        <v>-16.6</v>
      </c>
    </row>
    <row r="37" customFormat="false" ht="15" hidden="false" customHeight="false" outlineLevel="0" collapsed="false">
      <c r="A37" s="5" t="n">
        <v>45139</v>
      </c>
      <c r="B37" s="6" t="s">
        <v>37</v>
      </c>
      <c r="C37" s="7" t="n">
        <v>-18.4</v>
      </c>
    </row>
    <row r="38" customFormat="false" ht="15" hidden="false" customHeight="false" outlineLevel="0" collapsed="false">
      <c r="A38" s="5" t="n">
        <v>45170</v>
      </c>
      <c r="B38" s="6" t="s">
        <v>38</v>
      </c>
      <c r="C38" s="7" t="n">
        <v>-16.2</v>
      </c>
    </row>
    <row r="39" customFormat="false" ht="15" hidden="false" customHeight="false" outlineLevel="0" collapsed="false">
      <c r="A39" s="5" t="n">
        <v>45200</v>
      </c>
      <c r="B39" s="6" t="s">
        <v>39</v>
      </c>
      <c r="C39" s="7" t="n">
        <v>-18.1</v>
      </c>
    </row>
    <row r="40" customFormat="false" ht="15" hidden="false" customHeight="false" outlineLevel="0" collapsed="false">
      <c r="A40" s="5" t="n">
        <v>45231</v>
      </c>
      <c r="B40" s="6" t="s">
        <v>40</v>
      </c>
      <c r="C40" s="7" t="n">
        <v>-19.4</v>
      </c>
    </row>
    <row r="41" customFormat="false" ht="15" hidden="false" customHeight="false" outlineLevel="0" collapsed="false">
      <c r="A41" s="5" t="n">
        <v>45261</v>
      </c>
      <c r="B41" s="6" t="s">
        <v>41</v>
      </c>
      <c r="C41" s="7" t="n">
        <v>-18</v>
      </c>
    </row>
    <row r="42" customFormat="false" ht="15" hidden="false" customHeight="false" outlineLevel="0" collapsed="false">
      <c r="A42" s="5" t="n">
        <v>45292</v>
      </c>
      <c r="B42" s="6" t="s">
        <v>42</v>
      </c>
      <c r="C42" s="7" t="n">
        <v>-17.8</v>
      </c>
    </row>
    <row r="43" customFormat="false" ht="15" hidden="false" customHeight="false" outlineLevel="0" collapsed="false">
      <c r="A43" s="5" t="n">
        <v>45323</v>
      </c>
      <c r="B43" s="6" t="s">
        <v>43</v>
      </c>
      <c r="C43" s="7" t="n">
        <v>-17.4</v>
      </c>
    </row>
    <row r="44" customFormat="false" ht="15" hidden="false" customHeight="false" outlineLevel="0" collapsed="false">
      <c r="A44" s="5" t="n">
        <v>45352</v>
      </c>
      <c r="B44" s="6" t="s">
        <v>44</v>
      </c>
      <c r="C44" s="7" t="n">
        <v>-15.3</v>
      </c>
    </row>
    <row r="45" customFormat="false" ht="15" hidden="false" customHeight="false" outlineLevel="0" collapsed="false">
      <c r="A45" s="5" t="n">
        <v>45383</v>
      </c>
      <c r="B45" s="6" t="s">
        <v>45</v>
      </c>
      <c r="C45" s="7" t="n">
        <v>-13.5</v>
      </c>
    </row>
    <row r="46" customFormat="false" ht="15" hidden="false" customHeight="false" outlineLevel="0" collapsed="false">
      <c r="A46" s="5" t="n">
        <v>45413</v>
      </c>
      <c r="B46" s="6" t="s">
        <v>46</v>
      </c>
      <c r="C46" s="7" t="n">
        <v>-16</v>
      </c>
    </row>
    <row r="47" customFormat="false" ht="15" hidden="false" customHeight="false" outlineLevel="0" collapsed="false">
      <c r="A47" s="5" t="n">
        <v>45444</v>
      </c>
      <c r="B47" s="6" t="s">
        <v>47</v>
      </c>
      <c r="C47" s="7" t="n">
        <v>-11.2</v>
      </c>
    </row>
    <row r="48" customFormat="false" ht="15" hidden="false" customHeight="false" outlineLevel="0" collapsed="false">
      <c r="A48" s="5" t="n">
        <v>45474</v>
      </c>
      <c r="B48" s="6" t="s">
        <v>48</v>
      </c>
      <c r="C48" s="7" t="n">
        <v>-14.8</v>
      </c>
    </row>
    <row r="49" customFormat="false" ht="15" hidden="false" customHeight="false" outlineLevel="0" collapsed="false">
      <c r="A49" s="5" t="n">
        <v>45505</v>
      </c>
      <c r="B49" s="6" t="s">
        <v>49</v>
      </c>
      <c r="C49" s="7" t="n">
        <v>-12.1</v>
      </c>
    </row>
    <row r="50" customFormat="false" ht="15" hidden="false" customHeight="false" outlineLevel="0" collapsed="false">
      <c r="A50" s="5" t="n">
        <v>45536</v>
      </c>
      <c r="B50" s="6" t="s">
        <v>50</v>
      </c>
      <c r="C50" s="7" t="n">
        <v>-11.7</v>
      </c>
    </row>
    <row r="51" customFormat="false" ht="15" hidden="false" customHeight="false" outlineLevel="0" collapsed="false">
      <c r="A51" s="5" t="n">
        <v>45566</v>
      </c>
      <c r="B51" s="6" t="s">
        <v>51</v>
      </c>
      <c r="C51" s="7" t="n">
        <v>-12.3</v>
      </c>
    </row>
    <row r="52" customFormat="false" ht="15" hidden="false" customHeight="false" outlineLevel="0" collapsed="false">
      <c r="A52" s="5" t="n">
        <v>45597</v>
      </c>
      <c r="B52" s="6" t="s">
        <v>52</v>
      </c>
      <c r="C52" s="7" t="n">
        <v>-8.6</v>
      </c>
    </row>
    <row r="53" customFormat="false" ht="15" hidden="false" customHeight="false" outlineLevel="0" collapsed="false">
      <c r="A53" s="5" t="n">
        <v>45627</v>
      </c>
      <c r="B53" s="6" t="s">
        <v>53</v>
      </c>
      <c r="C53" s="7" t="n">
        <v>-12</v>
      </c>
    </row>
    <row r="54" customFormat="false" ht="15" hidden="false" customHeight="false" outlineLevel="0" collapsed="false">
      <c r="A54" s="5" t="n">
        <v>45658</v>
      </c>
      <c r="B54" s="6" t="s">
        <v>54</v>
      </c>
      <c r="C54" s="8" t="n">
        <v>-20.5</v>
      </c>
    </row>
    <row r="55" customFormat="false" ht="15" hidden="false" customHeight="false" outlineLevel="0" collapsed="false">
      <c r="A55" s="5" t="n">
        <v>45689</v>
      </c>
      <c r="B55" s="6" t="s">
        <v>55</v>
      </c>
      <c r="C55" s="7" t="n">
        <v>-17.3</v>
      </c>
    </row>
    <row r="56" customFormat="false" ht="15" hidden="false" customHeight="false" outlineLevel="0" collapsed="false">
      <c r="A56" s="5" t="n">
        <v>45717</v>
      </c>
      <c r="B56" s="6" t="s">
        <v>56</v>
      </c>
      <c r="C56" s="7" t="n">
        <v>-17.3</v>
      </c>
    </row>
    <row r="57" customFormat="false" ht="15" hidden="false" customHeight="false" outlineLevel="0" collapsed="false">
      <c r="A57" s="5" t="n">
        <v>45748</v>
      </c>
      <c r="B57" s="6" t="s">
        <v>57</v>
      </c>
      <c r="C57" s="7" t="n">
        <v>-18.1</v>
      </c>
    </row>
    <row r="58" customFormat="false" ht="15" hidden="false" customHeight="false" outlineLevel="0" collapsed="false">
      <c r="A58" s="5" t="n">
        <v>45778</v>
      </c>
      <c r="B58" s="6" t="s">
        <v>58</v>
      </c>
      <c r="C58" s="7" t="n">
        <v>-15.5</v>
      </c>
    </row>
    <row r="59" customFormat="false" ht="15" hidden="false" customHeight="false" outlineLevel="0" collapsed="false">
      <c r="A59" s="5" t="n">
        <v>45809</v>
      </c>
      <c r="B59" s="6" t="s">
        <v>59</v>
      </c>
      <c r="C59" s="8" t="n">
        <v>-25.4</v>
      </c>
    </row>
    <row r="60" customFormat="false" ht="15" hidden="false" customHeight="false" outlineLevel="0" collapsed="false">
      <c r="A60" s="5" t="n">
        <v>45839</v>
      </c>
      <c r="B60" s="6" t="s">
        <v>60</v>
      </c>
      <c r="C60" s="9" t="n">
        <v>-32.1</v>
      </c>
    </row>
    <row r="61" customFormat="false" ht="15" hidden="false" customHeight="false" outlineLevel="0" collapsed="false">
      <c r="A61" s="5" t="n">
        <v>45870</v>
      </c>
      <c r="B61" s="6" t="s">
        <v>61</v>
      </c>
      <c r="C61" s="9" t="n">
        <v>-31.9</v>
      </c>
    </row>
    <row r="62" customFormat="false" ht="15" hidden="false" customHeight="false" outlineLevel="0" collapsed="false">
      <c r="A62" s="5" t="n">
        <v>45901</v>
      </c>
      <c r="B62" s="6" t="s">
        <v>62</v>
      </c>
      <c r="C62" s="9" t="n">
        <v>-31.7</v>
      </c>
    </row>
    <row r="63" customFormat="false" ht="15" hidden="false" customHeight="false" outlineLevel="0" collapsed="false">
      <c r="A63" s="5" t="n">
        <v>45931</v>
      </c>
      <c r="B63" s="6" t="s">
        <v>63</v>
      </c>
      <c r="C63" s="9" t="n">
        <v>-30.8</v>
      </c>
    </row>
    <row r="64" customFormat="false" ht="15" hidden="false" customHeight="false" outlineLevel="0" collapsed="false">
      <c r="A64" s="5" t="n">
        <v>45962</v>
      </c>
      <c r="B64" s="6" t="s">
        <v>64</v>
      </c>
      <c r="C64" s="9" t="n">
        <v>-30</v>
      </c>
    </row>
    <row r="65" customFormat="false" ht="15" hidden="false" customHeight="false" outlineLevel="0" collapsed="false">
      <c r="A65" s="5" t="n">
        <v>45992</v>
      </c>
      <c r="B65" s="6" t="s">
        <v>65</v>
      </c>
      <c r="C65" s="9" t="n">
        <v>-31.1</v>
      </c>
    </row>
    <row r="66" customFormat="false" ht="15" hidden="false" customHeight="false" outlineLevel="0" collapsed="false">
      <c r="A66" s="5" t="n">
        <v>46023</v>
      </c>
      <c r="B66" s="6" t="s">
        <v>66</v>
      </c>
      <c r="C66" s="9" t="n">
        <v>-34.9</v>
      </c>
    </row>
  </sheetData>
  <autoFilter ref="A5:C66"/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0" t="s">
        <v>67</v>
      </c>
      <c r="B1" s="10"/>
      <c r="C1" s="10"/>
      <c r="D1" s="10"/>
    </row>
    <row r="2" customFormat="false" ht="15" hidden="false" customHeight="false" outlineLevel="0" collapsed="false">
      <c r="A2" s="2" t="s">
        <v>68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26.85" hidden="false" customHeight="false" outlineLevel="0" collapsed="false">
      <c r="A5" s="11" t="s">
        <v>69</v>
      </c>
      <c r="B5" s="11" t="s">
        <v>70</v>
      </c>
      <c r="C5" s="11" t="s">
        <v>71</v>
      </c>
      <c r="D5" s="11" t="s">
        <v>72</v>
      </c>
    </row>
    <row r="6" customFormat="false" ht="15" hidden="false" customHeight="false" outlineLevel="0" collapsed="false">
      <c r="A6" s="5" t="n">
        <v>43831</v>
      </c>
      <c r="B6" s="6" t="s">
        <v>73</v>
      </c>
      <c r="C6" s="12" t="n">
        <v>160812</v>
      </c>
      <c r="D6" s="13"/>
    </row>
    <row r="7" customFormat="false" ht="15" hidden="false" customHeight="false" outlineLevel="0" collapsed="false">
      <c r="A7" s="5" t="n">
        <v>43922</v>
      </c>
      <c r="B7" s="6" t="s">
        <v>74</v>
      </c>
      <c r="C7" s="12" t="n">
        <v>160377</v>
      </c>
      <c r="D7" s="13" t="n">
        <f aca="false">(C7-C6)/C6</f>
        <v>-0.00270502201328259</v>
      </c>
    </row>
    <row r="8" customFormat="false" ht="15" hidden="false" customHeight="false" outlineLevel="0" collapsed="false">
      <c r="A8" s="5" t="n">
        <v>44013</v>
      </c>
      <c r="B8" s="6" t="s">
        <v>75</v>
      </c>
      <c r="C8" s="12" t="n">
        <v>168783</v>
      </c>
      <c r="D8" s="13" t="n">
        <f aca="false">(C8-C7)/C7</f>
        <v>0.052413999513646</v>
      </c>
    </row>
    <row r="9" customFormat="false" ht="15" hidden="false" customHeight="false" outlineLevel="0" collapsed="false">
      <c r="A9" s="5" t="n">
        <v>44105</v>
      </c>
      <c r="B9" s="6" t="s">
        <v>76</v>
      </c>
      <c r="C9" s="12" t="n">
        <v>168203</v>
      </c>
      <c r="D9" s="13" t="n">
        <f aca="false">(C9-C8)/C8</f>
        <v>-0.00343636503676318</v>
      </c>
    </row>
    <row r="10" customFormat="false" ht="15" hidden="false" customHeight="false" outlineLevel="0" collapsed="false">
      <c r="A10" s="5" t="n">
        <v>44197</v>
      </c>
      <c r="B10" s="6" t="s">
        <v>77</v>
      </c>
      <c r="C10" s="12" t="n">
        <v>176029</v>
      </c>
      <c r="D10" s="13" t="n">
        <f aca="false">(C10-C9)/C9</f>
        <v>0.046527113071705</v>
      </c>
    </row>
    <row r="11" customFormat="false" ht="15" hidden="false" customHeight="false" outlineLevel="0" collapsed="false">
      <c r="A11" s="5" t="n">
        <v>44287</v>
      </c>
      <c r="B11" s="6" t="s">
        <v>78</v>
      </c>
      <c r="C11" s="12" t="n">
        <v>175014</v>
      </c>
      <c r="D11" s="13" t="n">
        <f aca="false">(C11-C10)/C10</f>
        <v>-0.00576609535928739</v>
      </c>
    </row>
    <row r="12" customFormat="false" ht="15" hidden="false" customHeight="false" outlineLevel="0" collapsed="false">
      <c r="A12" s="5" t="n">
        <v>44378</v>
      </c>
      <c r="B12" s="6" t="s">
        <v>79</v>
      </c>
      <c r="C12" s="12" t="n">
        <v>178348</v>
      </c>
      <c r="D12" s="13" t="n">
        <f aca="false">(C12-C11)/C11</f>
        <v>0.0190499045790622</v>
      </c>
    </row>
    <row r="13" customFormat="false" ht="15" hidden="false" customHeight="false" outlineLevel="0" collapsed="false">
      <c r="A13" s="5" t="n">
        <v>44470</v>
      </c>
      <c r="B13" s="6" t="s">
        <v>80</v>
      </c>
      <c r="C13" s="12" t="n">
        <v>178203</v>
      </c>
      <c r="D13" s="13" t="n">
        <f aca="false">(C13-C12)/C12</f>
        <v>-0.000813017247179671</v>
      </c>
    </row>
    <row r="14" customFormat="false" ht="15" hidden="false" customHeight="false" outlineLevel="0" collapsed="false">
      <c r="A14" s="5" t="n">
        <v>44562</v>
      </c>
      <c r="B14" s="6" t="s">
        <v>81</v>
      </c>
      <c r="C14" s="12" t="n">
        <v>182261</v>
      </c>
      <c r="D14" s="13" t="n">
        <f aca="false">(C14-C13)/C13</f>
        <v>0.0227717827421536</v>
      </c>
    </row>
    <row r="15" customFormat="false" ht="15" hidden="false" customHeight="false" outlineLevel="0" collapsed="false">
      <c r="A15" s="5" t="n">
        <v>44652</v>
      </c>
      <c r="B15" s="6" t="s">
        <v>82</v>
      </c>
      <c r="C15" s="12" t="n">
        <v>186464</v>
      </c>
      <c r="D15" s="13" t="n">
        <f aca="false">(C15-C14)/C14</f>
        <v>0.0230603365503317</v>
      </c>
    </row>
    <row r="16" customFormat="false" ht="15" hidden="false" customHeight="false" outlineLevel="0" collapsed="false">
      <c r="A16" s="5" t="n">
        <v>44743</v>
      </c>
      <c r="B16" s="6" t="s">
        <v>83</v>
      </c>
      <c r="C16" s="12" t="n">
        <v>182116</v>
      </c>
      <c r="D16" s="13" t="n">
        <f aca="false">(C16-C15)/C15</f>
        <v>-0.0233181740175047</v>
      </c>
    </row>
    <row r="17" customFormat="false" ht="15" hidden="false" customHeight="false" outlineLevel="0" collapsed="false">
      <c r="A17" s="5" t="n">
        <v>44835</v>
      </c>
      <c r="B17" s="6" t="s">
        <v>84</v>
      </c>
      <c r="C17" s="12" t="n">
        <v>184290</v>
      </c>
      <c r="D17" s="13" t="n">
        <f aca="false">(C17-C16)/C16</f>
        <v>0.0119374464626941</v>
      </c>
    </row>
    <row r="18" customFormat="false" ht="15" hidden="false" customHeight="false" outlineLevel="0" collapsed="false">
      <c r="A18" s="5" t="n">
        <v>44927</v>
      </c>
      <c r="B18" s="6" t="s">
        <v>85</v>
      </c>
      <c r="C18" s="12" t="n">
        <v>186029</v>
      </c>
      <c r="D18" s="13" t="n">
        <f aca="false">(C18-C17)/C17</f>
        <v>0.00943621466167454</v>
      </c>
    </row>
    <row r="19" customFormat="false" ht="15" hidden="false" customHeight="false" outlineLevel="0" collapsed="false">
      <c r="A19" s="5" t="n">
        <v>45017</v>
      </c>
      <c r="B19" s="6" t="s">
        <v>86</v>
      </c>
      <c r="C19" s="12" t="n">
        <v>190087</v>
      </c>
      <c r="D19" s="13" t="n">
        <f aca="false">(C19-C18)/C18</f>
        <v>0.0218138032242285</v>
      </c>
    </row>
    <row r="20" customFormat="false" ht="15" hidden="false" customHeight="false" outlineLevel="0" collapsed="false">
      <c r="A20" s="5" t="n">
        <v>45108</v>
      </c>
      <c r="B20" s="6" t="s">
        <v>87</v>
      </c>
      <c r="C20" s="12" t="n">
        <v>192696</v>
      </c>
      <c r="D20" s="13" t="n">
        <f aca="false">(C20-C19)/C19</f>
        <v>0.0137252942073892</v>
      </c>
    </row>
    <row r="21" customFormat="false" ht="15" hidden="false" customHeight="false" outlineLevel="0" collapsed="false">
      <c r="A21" s="5" t="n">
        <v>45200</v>
      </c>
      <c r="B21" s="6" t="s">
        <v>88</v>
      </c>
      <c r="C21" s="12" t="n">
        <v>197043</v>
      </c>
      <c r="D21" s="13" t="n">
        <f aca="false">(C21-C20)/C20</f>
        <v>0.0225588491717524</v>
      </c>
    </row>
    <row r="22" customFormat="false" ht="15" hidden="false" customHeight="false" outlineLevel="0" collapsed="false">
      <c r="A22" s="5" t="n">
        <v>45292</v>
      </c>
      <c r="B22" s="6" t="s">
        <v>89</v>
      </c>
      <c r="C22" s="12" t="n">
        <v>196899</v>
      </c>
      <c r="D22" s="13" t="n">
        <f aca="false">(C22-C21)/C21</f>
        <v>-0.000730804951203544</v>
      </c>
    </row>
    <row r="23" customFormat="false" ht="15" hidden="false" customHeight="false" outlineLevel="0" collapsed="false">
      <c r="A23" s="5" t="n">
        <v>45383</v>
      </c>
      <c r="B23" s="6" t="s">
        <v>90</v>
      </c>
      <c r="C23" s="12" t="n">
        <v>197768</v>
      </c>
      <c r="D23" s="13" t="n">
        <f aca="false">(C23-C22)/C22</f>
        <v>0.00441343023580617</v>
      </c>
    </row>
    <row r="24" customFormat="false" ht="15" hidden="false" customHeight="false" outlineLevel="0" collapsed="false">
      <c r="A24" s="5" t="n">
        <v>45474</v>
      </c>
      <c r="B24" s="6" t="s">
        <v>91</v>
      </c>
      <c r="C24" s="12" t="n">
        <v>196754</v>
      </c>
      <c r="D24" s="13" t="n">
        <f aca="false">(C24-C23)/C23</f>
        <v>-0.00512721977266292</v>
      </c>
    </row>
    <row r="25" customFormat="false" ht="15" hidden="false" customHeight="false" outlineLevel="0" collapsed="false">
      <c r="A25" s="5" t="n">
        <v>45566</v>
      </c>
      <c r="B25" s="6" t="s">
        <v>92</v>
      </c>
      <c r="C25" s="12" t="n">
        <v>196754</v>
      </c>
      <c r="D25" s="13" t="n">
        <f aca="false">(C25-C24)/C24</f>
        <v>0</v>
      </c>
    </row>
    <row r="26" customFormat="false" ht="15" hidden="false" customHeight="false" outlineLevel="0" collapsed="false">
      <c r="A26" s="5" t="n">
        <v>45658</v>
      </c>
      <c r="B26" s="6" t="s">
        <v>93</v>
      </c>
      <c r="C26" s="12" t="n">
        <v>196029</v>
      </c>
      <c r="D26" s="13" t="n">
        <f aca="false">(C26-C25)/C25</f>
        <v>-0.00368480437500635</v>
      </c>
    </row>
  </sheetData>
  <autoFilter ref="A5:D26"/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2026-02-26T20:49:33Z</dcterms:created>
  <dc:creator>openpyxl</dc:creator>
  <dc:description/>
  <dc:language>en-US</dc:language>
  <cp:lastModifiedBy/>
  <dcterms:modified xsi:type="dcterms:W3CDTF">2026-02-26T20:49:33Z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