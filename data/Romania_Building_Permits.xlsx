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raresvictor/Downloads/"/>
    </mc:Choice>
  </mc:AlternateContent>
  <xr:revisionPtr revIDLastSave="0" documentId="13_ncr:1_{7192BC93-075B-EE4B-B4C8-2B47CC9F7D87}" xr6:coauthVersionLast="47" xr6:coauthVersionMax="47" xr10:uidLastSave="{00000000-0000-0000-0000-000000000000}"/>
  <bookViews>
    <workbookView xWindow="1960" yWindow="2040" windowWidth="51200" windowHeight="27640" xr2:uid="{00000000-000D-0000-FFFF-FFFF00000000}"/>
  </bookViews>
  <sheets>
    <sheet name="Monthly Data" sheetId="1" r:id="rId1"/>
    <sheet name="Annual Summary" sheetId="2" r:id="rId2"/>
  </sheets>
  <definedNames>
    <definedName name="_xlchart.v1.0" hidden="1">'Monthly Data'!$A$5:$A$56</definedName>
    <definedName name="_xlchart.v1.1" hidden="1">'Monthly Data'!$B$4</definedName>
    <definedName name="_xlchart.v1.2" hidden="1">'Monthly Data'!$B$5:$B$56</definedName>
    <definedName name="_xlchart.v1.3" hidden="1">'Monthly Data'!$A$5:$A$56</definedName>
    <definedName name="_xlchart.v1.4" hidden="1">'Monthly Data'!$B$4</definedName>
    <definedName name="_xlchart.v1.5" hidden="1">'Monthly Data'!$B$5:$B$56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</calcChain>
</file>

<file path=xl/sharedStrings.xml><?xml version="1.0" encoding="utf-8"?>
<sst xmlns="http://schemas.openxmlformats.org/spreadsheetml/2006/main" count="127" uniqueCount="83">
  <si>
    <t>Romania – Residential Building Permits (Monthly)</t>
  </si>
  <si>
    <t>Source: Institutul Național de Statistică (INS) via Trading Economics  |  Units: Number of permits</t>
  </si>
  <si>
    <t>Period</t>
  </si>
  <si>
    <t>Year</t>
  </si>
  <si>
    <t>Month</t>
  </si>
  <si>
    <t>Permits (Units)</t>
  </si>
  <si>
    <t>MoM Δ Units</t>
  </si>
  <si>
    <t>MoM Δ %</t>
  </si>
  <si>
    <t>Sep 2021</t>
  </si>
  <si>
    <t>Sep</t>
  </si>
  <si>
    <t>—</t>
  </si>
  <si>
    <t>Oct 2021</t>
  </si>
  <si>
    <t>Oct</t>
  </si>
  <si>
    <t>Nov 2021</t>
  </si>
  <si>
    <t>Nov</t>
  </si>
  <si>
    <t>Dec 2021</t>
  </si>
  <si>
    <t>Dec</t>
  </si>
  <si>
    <t>Jan 2022</t>
  </si>
  <si>
    <t>Jan</t>
  </si>
  <si>
    <t>Feb 2022</t>
  </si>
  <si>
    <t>Feb</t>
  </si>
  <si>
    <t>Mar 2022</t>
  </si>
  <si>
    <t>Mar</t>
  </si>
  <si>
    <t>Apr 2022</t>
  </si>
  <si>
    <t>Apr</t>
  </si>
  <si>
    <t>May 2022</t>
  </si>
  <si>
    <t>May</t>
  </si>
  <si>
    <t>Jun 2022</t>
  </si>
  <si>
    <t>Jun</t>
  </si>
  <si>
    <t>Jul 2022</t>
  </si>
  <si>
    <t>Jul</t>
  </si>
  <si>
    <t>Aug 2022</t>
  </si>
  <si>
    <t>Aug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</si>
  <si>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</si>
  <si>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</si>
  <si>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</si>
  <si>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</si>
  <si>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</si>
  <si>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</si>
  <si>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</si>
  <si>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</si>
  <si>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</si>
  <si>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</si>
  <si>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</si>
  <si>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</si>
  <si>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</si>
  <si>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</si>
  <si>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</si>
  <si>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</si>
  <si>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</si>
  <si>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</si>
  <si>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</si>
  <si>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</si>
  <si>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</si>
  <si>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</si>
  <si>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</si>
  <si>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</si>
  <si>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</si>
  <si>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</si>
  <si>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</si>
  <si>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</si>
  <si>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</si>
  <si>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</si>
  <si>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</si>
  <si>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</si>
  <si>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</si>
  <si>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</si>
  <si>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</si>
  <si>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</si>
  <si>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</si>
  <si>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</si>
  <si>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</si>
  <si>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</si>
  <si>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Romania – Residential Building Permits: Annual Totals</t>
  </si>
  <si>
    <t>Total (Units)</t>
  </si>
  <si>
    <t>YoY Δ Units</t>
  </si>
  <si>
    <t>YoY Δ %</t>
  </si>
  <si>
    <t>2021 (Sep–Dec only)</t>
  </si>
  <si>
    <t>2022</t>
  </si>
  <si>
    <t>2023</t>
  </si>
  <si>
    <t>2024</t>
  </si>
  <si>
    <t>2025</t>
  </si>
  <si>
    <t>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</si>
</sst>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;\-#,##0;\-"/>
    <numFmt numFmtId="165" formatCode="\+0.0%;\-0.0%;\-"/>
  </numFmts>
  <fonts count="5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59595"/>
      <color rgb="FF222830"/>
      <color rgb="FFD86D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6"/>
  <sheetViews>
    <sheetView tabSelected="1" workbookViewId="0">
      <pane ySplit="4" topLeftCell="A5" activePane="bottomLeft" state="frozen"/>
      <selection pane="bottomLeft" activeCell="AJ36" sqref="AJ36"/>
    </sheetView>
  </sheetViews>
  <sheetFormatPr baseColWidth="10" defaultColWidth="8.83203125" defaultRowHeight="15" x14ac:dyDescent="0.2"/>
  <cols>
    <col min="1" max="1" width="12" customWidth="1"/>
    <col min="2" max="3" width="8" customWidth="1"/>
    <col min="4" max="4" width="18" customWidth="1"/>
    <col min="5" max="5" width="15" customWidth="1"/>
    <col min="6" max="6" width="12" customWidth="1"/>
  </cols>
  <sheetData>
    <row r="1" spans="1:6" ht="17" x14ac:dyDescent="0.2">
      <c r="A1" s="14" t="s">
        <v>0</v>
      </c>
      <c r="B1" s="13"/>
      <c r="C1" s="13"/>
      <c r="D1" s="13"/>
      <c r="E1" s="13"/>
      <c r="F1" s="13"/>
    </row>
    <row r="2" spans="1:6" x14ac:dyDescent="0.2">
      <c r="A2" s="12" t="s">
        <v>1</v>
      </c>
      <c r="B2" s="13"/>
      <c r="C2" s="13"/>
      <c r="D2" s="13"/>
      <c r="E2" s="13"/>
      <c r="F2" s="13"/>
    </row>
    <row r="3" spans="1:6" ht="5" customHeight="1" x14ac:dyDescent="0.2"/>
    <row r="4" spans="1:6" ht="22" customHeight="1" x14ac:dyDescent="0.2">
      <c r="A4" s="1" t="s">
        <v>2</v>
      </c>
      <c r="B4" s="1" t="s">
        <v>5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">
      <c r="A5" s="2" t="s">
        <v>8</v>
      </c>
      <c r="B5" s="4">
        <v>4900</v>
      </c>
      <c r="C5" s="3" t="s">
        <v>9</v>
      </c>
      <c r="D5" s="4">
        <v>4900</v>
      </c>
      <c r="E5" s="3" t="s">
        <v>10</v>
      </c>
      <c r="F5" s="3" t="s">
        <v>10</v>
      </c>
    </row>
    <row r="6" spans="1:6" x14ac:dyDescent="0.2">
      <c r="A6" s="5" t="s">
        <v>11</v>
      </c>
      <c r="B6" s="7">
        <v>4259</v>
      </c>
      <c r="C6" s="6" t="s">
        <v>12</v>
      </c>
      <c r="D6" s="7">
        <v>4259</v>
      </c>
      <c r="E6" s="8">
        <f t="shared" ref="E6:E37" si="0">D6-D5</f>
        <v>-641</v>
      </c>
      <c r="F6" s="9">
        <f t="shared" ref="F6:F37" si="1">(D6-D5)/D5</f>
        <v>-0.13081632653061223</v>
      </c>
    </row>
    <row r="7" spans="1:6" x14ac:dyDescent="0.2">
      <c r="A7" s="2" t="s">
        <v>13</v>
      </c>
      <c r="B7" s="4">
        <v>3903</v>
      </c>
      <c r="C7" s="3" t="s">
        <v>14</v>
      </c>
      <c r="D7" s="4">
        <v>3903</v>
      </c>
      <c r="E7" s="10">
        <f t="shared" si="0"/>
        <v>-356</v>
      </c>
      <c r="F7" s="11">
        <f t="shared" si="1"/>
        <v>-8.3587696642404327E-2</v>
      </c>
    </row>
    <row r="8" spans="1:6" x14ac:dyDescent="0.2">
      <c r="A8" s="5" t="s">
        <v>15</v>
      </c>
      <c r="B8" s="7">
        <v>4010</v>
      </c>
      <c r="C8" s="6" t="s">
        <v>16</v>
      </c>
      <c r="D8" s="7">
        <v>4010</v>
      </c>
      <c r="E8" s="8">
        <f t="shared" si="0"/>
        <v>107</v>
      </c>
      <c r="F8" s="9">
        <f t="shared" si="1"/>
        <v>2.7414809121188828E-2</v>
      </c>
    </row>
    <row r="9" spans="1:6" x14ac:dyDescent="0.2">
      <c r="A9" s="2" t="s">
        <v>17</v>
      </c>
      <c r="B9" s="4">
        <v>2550</v>
      </c>
      <c r="C9" s="3" t="s">
        <v>18</v>
      </c>
      <c r="D9" s="4">
        <v>2550</v>
      </c>
      <c r="E9" s="10">
        <f t="shared" si="0"/>
        <v>-1460</v>
      </c>
      <c r="F9" s="11">
        <f t="shared" si="1"/>
        <v>-0.36408977556109728</v>
      </c>
    </row>
    <row r="10" spans="1:6" x14ac:dyDescent="0.2">
      <c r="A10" s="5" t="s">
        <v>19</v>
      </c>
      <c r="B10" s="7">
        <v>3547</v>
      </c>
      <c r="C10" s="6" t="s">
        <v>20</v>
      </c>
      <c r="D10" s="7">
        <v>3547</v>
      </c>
      <c r="E10" s="8">
        <f t="shared" si="0"/>
        <v>997</v>
      </c>
      <c r="F10" s="9">
        <f t="shared" si="1"/>
        <v>0.39098039215686275</v>
      </c>
    </row>
    <row r="11" spans="1:6" x14ac:dyDescent="0.2">
      <c r="A11" s="2" t="s">
        <v>21</v>
      </c>
      <c r="B11" s="4">
        <v>4389</v>
      </c>
      <c r="C11" s="3" t="s">
        <v>22</v>
      </c>
      <c r="D11" s="4">
        <v>4389</v>
      </c>
      <c r="E11" s="10">
        <f t="shared" si="0"/>
        <v>842</v>
      </c>
      <c r="F11" s="11">
        <f t="shared" si="1"/>
        <v>0.23738370453904709</v>
      </c>
    </row>
    <row r="12" spans="1:6" x14ac:dyDescent="0.2">
      <c r="A12" s="5" t="s">
        <v>23</v>
      </c>
      <c r="B12" s="7">
        <v>3962</v>
      </c>
      <c r="C12" s="6" t="s">
        <v>24</v>
      </c>
      <c r="D12" s="7">
        <v>3962</v>
      </c>
      <c r="E12" s="8">
        <f t="shared" si="0"/>
        <v>-427</v>
      </c>
      <c r="F12" s="9">
        <f t="shared" si="1"/>
        <v>-9.7288676236044661E-2</v>
      </c>
    </row>
    <row r="13" spans="1:6" x14ac:dyDescent="0.2">
      <c r="A13" s="2" t="s">
        <v>25</v>
      </c>
      <c r="B13" s="4">
        <v>4259</v>
      </c>
      <c r="C13" s="3" t="s">
        <v>26</v>
      </c>
      <c r="D13" s="4">
        <v>4259</v>
      </c>
      <c r="E13" s="10">
        <f t="shared" si="0"/>
        <v>297</v>
      </c>
      <c r="F13" s="11">
        <f t="shared" si="1"/>
        <v>7.4962140333165062E-2</v>
      </c>
    </row>
    <row r="14" spans="1:6" x14ac:dyDescent="0.2">
      <c r="A14" s="5" t="s">
        <v>27</v>
      </c>
      <c r="B14" s="7">
        <v>4022</v>
      </c>
      <c r="C14" s="6" t="s">
        <v>28</v>
      </c>
      <c r="D14" s="7">
        <v>4022</v>
      </c>
      <c r="E14" s="8">
        <f t="shared" si="0"/>
        <v>-237</v>
      </c>
      <c r="F14" s="9">
        <f t="shared" si="1"/>
        <v>-5.5646865461375906E-2</v>
      </c>
    </row>
    <row r="15" spans="1:6" x14ac:dyDescent="0.2">
      <c r="A15" s="2" t="s">
        <v>29</v>
      </c>
      <c r="B15" s="4">
        <v>3867</v>
      </c>
      <c r="C15" s="3" t="s">
        <v>30</v>
      </c>
      <c r="D15" s="4">
        <v>3867</v>
      </c>
      <c r="E15" s="10">
        <f t="shared" si="0"/>
        <v>-155</v>
      </c>
      <c r="F15" s="11">
        <f t="shared" si="1"/>
        <v>-3.8538040775733466E-2</v>
      </c>
    </row>
    <row r="16" spans="1:6" x14ac:dyDescent="0.2">
      <c r="A16" s="5" t="s">
        <v>31</v>
      </c>
      <c r="B16" s="7">
        <v>4045</v>
      </c>
      <c r="C16" s="6" t="s">
        <v>32</v>
      </c>
      <c r="D16" s="7">
        <v>4045</v>
      </c>
      <c r="E16" s="8">
        <f t="shared" si="0"/>
        <v>178</v>
      </c>
      <c r="F16" s="9">
        <f t="shared" si="1"/>
        <v>4.6030514610809412E-2</v>
      </c>
    </row>
    <row r="17" spans="1:6" x14ac:dyDescent="0.2">
      <c r="A17" s="2" t="s">
        <v>33</v>
      </c>
      <c r="B17" s="4">
        <v>3879</v>
      </c>
      <c r="C17" s="3" t="s">
        <v>9</v>
      </c>
      <c r="D17" s="4">
        <v>3879</v>
      </c>
      <c r="E17" s="10">
        <f t="shared" si="0"/>
        <v>-166</v>
      </c>
      <c r="F17" s="11">
        <f t="shared" si="1"/>
        <v>-4.1038318912237332E-2</v>
      </c>
    </row>
    <row r="18" spans="1:6" x14ac:dyDescent="0.2">
      <c r="A18" s="5" t="s">
        <v>34</v>
      </c>
      <c r="B18" s="7">
        <v>3286</v>
      </c>
      <c r="C18" s="6" t="s">
        <v>12</v>
      </c>
      <c r="D18" s="7">
        <v>3286</v>
      </c>
      <c r="E18" s="8">
        <f t="shared" si="0"/>
        <v>-593</v>
      </c>
      <c r="F18" s="9">
        <f t="shared" si="1"/>
        <v>-0.15287445217839649</v>
      </c>
    </row>
    <row r="19" spans="1:6" x14ac:dyDescent="0.2">
      <c r="A19" s="2" t="s">
        <v>35</v>
      </c>
      <c r="B19" s="4">
        <v>3179</v>
      </c>
      <c r="C19" s="3" t="s">
        <v>14</v>
      </c>
      <c r="D19" s="4">
        <v>3179</v>
      </c>
      <c r="E19" s="10">
        <f t="shared" si="0"/>
        <v>-107</v>
      </c>
      <c r="F19" s="11">
        <f t="shared" si="1"/>
        <v>-3.2562385879488738E-2</v>
      </c>
    </row>
    <row r="20" spans="1:6" x14ac:dyDescent="0.2">
      <c r="A20" s="5" t="s">
        <v>36</v>
      </c>
      <c r="B20" s="7">
        <v>2692</v>
      </c>
      <c r="C20" s="6" t="s">
        <v>16</v>
      </c>
      <c r="D20" s="7">
        <v>2692</v>
      </c>
      <c r="E20" s="8">
        <f t="shared" si="0"/>
        <v>-487</v>
      </c>
      <c r="F20" s="9">
        <f t="shared" si="1"/>
        <v>-0.15319282793331238</v>
      </c>
    </row>
    <row r="21" spans="1:6" x14ac:dyDescent="0.2">
      <c r="A21" s="2" t="s">
        <v>37</v>
      </c>
      <c r="B21" s="4">
        <v>2075</v>
      </c>
      <c r="C21" s="3" t="s">
        <v>18</v>
      </c>
      <c r="D21" s="4">
        <v>2075</v>
      </c>
      <c r="E21" s="10">
        <f t="shared" si="0"/>
        <v>-617</v>
      </c>
      <c r="F21" s="11">
        <f t="shared" si="1"/>
        <v>-0.22919762258543833</v>
      </c>
    </row>
    <row r="22" spans="1:6" x14ac:dyDescent="0.2">
      <c r="A22" s="5" t="s">
        <v>38</v>
      </c>
      <c r="B22" s="7">
        <v>2574</v>
      </c>
      <c r="C22" s="6" t="s">
        <v>20</v>
      </c>
      <c r="D22" s="7">
        <v>2574</v>
      </c>
      <c r="E22" s="8">
        <f t="shared" si="0"/>
        <v>499</v>
      </c>
      <c r="F22" s="9">
        <f t="shared" si="1"/>
        <v>0.24048192771084337</v>
      </c>
    </row>
    <row r="23" spans="1:6" x14ac:dyDescent="0.2">
      <c r="A23" s="2" t="s">
        <v>39</v>
      </c>
      <c r="B23" s="4">
        <v>3345</v>
      </c>
      <c r="C23" s="3" t="s">
        <v>22</v>
      </c>
      <c r="D23" s="4">
        <v>3345</v>
      </c>
      <c r="E23" s="10">
        <f t="shared" si="0"/>
        <v>771</v>
      </c>
      <c r="F23" s="11">
        <f t="shared" si="1"/>
        <v>0.29953379953379955</v>
      </c>
    </row>
    <row r="24" spans="1:6" x14ac:dyDescent="0.2">
      <c r="A24" s="5" t="s">
        <v>40</v>
      </c>
      <c r="B24" s="7">
        <v>2681</v>
      </c>
      <c r="C24" s="6" t="s">
        <v>24</v>
      </c>
      <c r="D24" s="7">
        <v>2681</v>
      </c>
      <c r="E24" s="8">
        <f t="shared" si="0"/>
        <v>-664</v>
      </c>
      <c r="F24" s="9">
        <f t="shared" si="1"/>
        <v>-0.19850523168908818</v>
      </c>
    </row>
    <row r="25" spans="1:6" x14ac:dyDescent="0.2">
      <c r="A25" s="2" t="s">
        <v>41</v>
      </c>
      <c r="B25" s="4">
        <v>3452</v>
      </c>
      <c r="C25" s="3" t="s">
        <v>26</v>
      </c>
      <c r="D25" s="4">
        <v>3452</v>
      </c>
      <c r="E25" s="10">
        <f t="shared" si="0"/>
        <v>771</v>
      </c>
      <c r="F25" s="11">
        <f t="shared" si="1"/>
        <v>0.28757926146960089</v>
      </c>
    </row>
    <row r="26" spans="1:6" x14ac:dyDescent="0.2">
      <c r="A26" s="5" t="s">
        <v>42</v>
      </c>
      <c r="B26" s="7">
        <v>3025</v>
      </c>
      <c r="C26" s="6" t="s">
        <v>28</v>
      </c>
      <c r="D26" s="7">
        <v>3025</v>
      </c>
      <c r="E26" s="8">
        <f t="shared" si="0"/>
        <v>-427</v>
      </c>
      <c r="F26" s="9">
        <f t="shared" si="1"/>
        <v>-0.12369640787949016</v>
      </c>
    </row>
    <row r="27" spans="1:6" x14ac:dyDescent="0.2">
      <c r="A27" s="2" t="s">
        <v>43</v>
      </c>
      <c r="B27" s="4">
        <v>3060</v>
      </c>
      <c r="C27" s="3" t="s">
        <v>30</v>
      </c>
      <c r="D27" s="4">
        <v>3060</v>
      </c>
      <c r="E27" s="10">
        <f t="shared" si="0"/>
        <v>35</v>
      </c>
      <c r="F27" s="11">
        <f t="shared" si="1"/>
        <v>1.1570247933884297E-2</v>
      </c>
    </row>
    <row r="28" spans="1:6" x14ac:dyDescent="0.2">
      <c r="A28" s="5" t="s">
        <v>44</v>
      </c>
      <c r="B28" s="7">
        <v>3120</v>
      </c>
      <c r="C28" s="6" t="s">
        <v>32</v>
      </c>
      <c r="D28" s="7">
        <v>3120</v>
      </c>
      <c r="E28" s="8">
        <f t="shared" si="0"/>
        <v>60</v>
      </c>
      <c r="F28" s="9">
        <f t="shared" si="1"/>
        <v>1.9607843137254902E-2</v>
      </c>
    </row>
    <row r="29" spans="1:6" x14ac:dyDescent="0.2">
      <c r="A29" s="2" t="s">
        <v>45</v>
      </c>
      <c r="B29" s="4">
        <v>3084</v>
      </c>
      <c r="C29" s="3" t="s">
        <v>9</v>
      </c>
      <c r="D29" s="4">
        <v>3084</v>
      </c>
      <c r="E29" s="10">
        <f t="shared" si="0"/>
        <v>-36</v>
      </c>
      <c r="F29" s="11">
        <f t="shared" si="1"/>
        <v>-1.1538461538461539E-2</v>
      </c>
    </row>
    <row r="30" spans="1:6" x14ac:dyDescent="0.2">
      <c r="A30" s="5" t="s">
        <v>46</v>
      </c>
      <c r="B30" s="7">
        <v>3001</v>
      </c>
      <c r="C30" s="6" t="s">
        <v>12</v>
      </c>
      <c r="D30" s="7">
        <v>3001</v>
      </c>
      <c r="E30" s="8">
        <f t="shared" si="0"/>
        <v>-83</v>
      </c>
      <c r="F30" s="9">
        <f t="shared" si="1"/>
        <v>-2.6913099870298315E-2</v>
      </c>
    </row>
    <row r="31" spans="1:6" x14ac:dyDescent="0.2">
      <c r="A31" s="2" t="s">
        <v>47</v>
      </c>
      <c r="B31" s="4">
        <v>2704</v>
      </c>
      <c r="C31" s="3" t="s">
        <v>14</v>
      </c>
      <c r="D31" s="4">
        <v>2704</v>
      </c>
      <c r="E31" s="10">
        <f t="shared" si="0"/>
        <v>-297</v>
      </c>
      <c r="F31" s="11">
        <f t="shared" si="1"/>
        <v>-9.8967010996334551E-2</v>
      </c>
    </row>
    <row r="32" spans="1:6" x14ac:dyDescent="0.2">
      <c r="A32" s="5" t="s">
        <v>48</v>
      </c>
      <c r="B32" s="7">
        <v>2550</v>
      </c>
      <c r="C32" s="6" t="s">
        <v>16</v>
      </c>
      <c r="D32" s="7">
        <v>2550</v>
      </c>
      <c r="E32" s="8">
        <f t="shared" si="0"/>
        <v>-154</v>
      </c>
      <c r="F32" s="9">
        <f t="shared" si="1"/>
        <v>-5.6952662721893491E-2</v>
      </c>
    </row>
    <row r="33" spans="1:36" x14ac:dyDescent="0.2">
      <c r="A33" s="2" t="s">
        <v>49</v>
      </c>
      <c r="B33" s="4">
        <v>1826</v>
      </c>
      <c r="C33" s="3" t="s">
        <v>18</v>
      </c>
      <c r="D33" s="4">
        <v>1826</v>
      </c>
      <c r="E33" s="10">
        <f t="shared" si="0"/>
        <v>-724</v>
      </c>
      <c r="F33" s="11">
        <f t="shared" si="1"/>
        <v>-0.28392156862745099</v>
      </c>
    </row>
    <row r="34" spans="1:36" x14ac:dyDescent="0.2">
      <c r="A34" s="5" t="s">
        <v>50</v>
      </c>
      <c r="B34" s="7">
        <v>2562</v>
      </c>
      <c r="C34" s="6" t="s">
        <v>20</v>
      </c>
      <c r="D34" s="7">
        <v>2562</v>
      </c>
      <c r="E34" s="8">
        <f t="shared" si="0"/>
        <v>736</v>
      </c>
      <c r="F34" s="9">
        <f t="shared" si="1"/>
        <v>0.40306681270536693</v>
      </c>
    </row>
    <row r="35" spans="1:36" x14ac:dyDescent="0.2">
      <c r="A35" s="2" t="s">
        <v>51</v>
      </c>
      <c r="B35" s="4">
        <v>3037</v>
      </c>
      <c r="C35" s="3" t="s">
        <v>22</v>
      </c>
      <c r="D35" s="4">
        <v>3037</v>
      </c>
      <c r="E35" s="10">
        <f t="shared" si="0"/>
        <v>475</v>
      </c>
      <c r="F35" s="11">
        <f t="shared" si="1"/>
        <v>0.18540202966432476</v>
      </c>
    </row>
    <row r="36" spans="1:36" x14ac:dyDescent="0.2">
      <c r="A36" s="5" t="s">
        <v>52</v>
      </c>
      <c r="B36" s="7">
        <v>3582</v>
      </c>
      <c r="C36" s="6" t="s">
        <v>24</v>
      </c>
      <c r="D36" s="7">
        <v>3582</v>
      </c>
      <c r="E36" s="8">
        <f t="shared" si="0"/>
        <v>545</v>
      </c>
      <c r="F36" s="9">
        <f t="shared" si="1"/>
        <v>0.17945340796838985</v>
      </c>
      <c r="AJ36" t="s">
        <v>82</v>
      </c>
    </row>
    <row r="37" spans="1:36" x14ac:dyDescent="0.2">
      <c r="A37" s="2" t="s">
        <v>53</v>
      </c>
      <c r="B37" s="4">
        <v>3048</v>
      </c>
      <c r="C37" s="3" t="s">
        <v>26</v>
      </c>
      <c r="D37" s="4">
        <v>3048</v>
      </c>
      <c r="E37" s="10">
        <f t="shared" si="0"/>
        <v>-534</v>
      </c>
      <c r="F37" s="11">
        <f t="shared" si="1"/>
        <v>-0.1490787269681742</v>
      </c>
    </row>
    <row r="38" spans="1:36" x14ac:dyDescent="0.2">
      <c r="A38" s="5" t="s">
        <v>54</v>
      </c>
      <c r="B38" s="7">
        <v>2870</v>
      </c>
      <c r="C38" s="6" t="s">
        <v>28</v>
      </c>
      <c r="D38" s="7">
        <v>2870</v>
      </c>
      <c r="E38" s="8">
        <f t="shared" ref="E38:E69" si="2">D38-D37</f>
        <v>-178</v>
      </c>
      <c r="F38" s="9">
        <f t="shared" ref="F38:F56" si="3">(D38-D37)/D37</f>
        <v>-5.8398950131233598E-2</v>
      </c>
    </row>
    <row r="39" spans="1:36" x14ac:dyDescent="0.2">
      <c r="A39" s="2" t="s">
        <v>55</v>
      </c>
      <c r="B39" s="4">
        <v>3488</v>
      </c>
      <c r="C39" s="3" t="s">
        <v>30</v>
      </c>
      <c r="D39" s="4">
        <v>3488</v>
      </c>
      <c r="E39" s="10">
        <f t="shared" si="2"/>
        <v>618</v>
      </c>
      <c r="F39" s="11">
        <f t="shared" si="3"/>
        <v>0.21533101045296169</v>
      </c>
    </row>
    <row r="40" spans="1:36" x14ac:dyDescent="0.2">
      <c r="A40" s="5" t="s">
        <v>56</v>
      </c>
      <c r="B40" s="7">
        <v>3357</v>
      </c>
      <c r="C40" s="6" t="s">
        <v>32</v>
      </c>
      <c r="D40" s="7">
        <v>3357</v>
      </c>
      <c r="E40" s="8">
        <f t="shared" si="2"/>
        <v>-131</v>
      </c>
      <c r="F40" s="9">
        <f t="shared" si="3"/>
        <v>-3.7557339449541281E-2</v>
      </c>
    </row>
    <row r="41" spans="1:36" x14ac:dyDescent="0.2">
      <c r="A41" s="2" t="s">
        <v>57</v>
      </c>
      <c r="B41" s="4">
        <v>3488</v>
      </c>
      <c r="C41" s="3" t="s">
        <v>9</v>
      </c>
      <c r="D41" s="4">
        <v>3488</v>
      </c>
      <c r="E41" s="10">
        <f t="shared" si="2"/>
        <v>131</v>
      </c>
      <c r="F41" s="11">
        <f t="shared" si="3"/>
        <v>3.9022937146261545E-2</v>
      </c>
    </row>
    <row r="42" spans="1:36" x14ac:dyDescent="0.2">
      <c r="A42" s="5" t="s">
        <v>58</v>
      </c>
      <c r="B42" s="7">
        <v>3167</v>
      </c>
      <c r="C42" s="6" t="s">
        <v>12</v>
      </c>
      <c r="D42" s="7">
        <v>3167</v>
      </c>
      <c r="E42" s="8">
        <f t="shared" si="2"/>
        <v>-321</v>
      </c>
      <c r="F42" s="9">
        <f t="shared" si="3"/>
        <v>-9.2029816513761464E-2</v>
      </c>
    </row>
    <row r="43" spans="1:36" x14ac:dyDescent="0.2">
      <c r="A43" s="2" t="s">
        <v>59</v>
      </c>
      <c r="B43" s="4">
        <v>2728</v>
      </c>
      <c r="C43" s="3" t="s">
        <v>14</v>
      </c>
      <c r="D43" s="4">
        <v>2728</v>
      </c>
      <c r="E43" s="10">
        <f t="shared" si="2"/>
        <v>-439</v>
      </c>
      <c r="F43" s="11">
        <f t="shared" si="3"/>
        <v>-0.13861698768550679</v>
      </c>
    </row>
    <row r="44" spans="1:36" x14ac:dyDescent="0.2">
      <c r="A44" s="5" t="s">
        <v>60</v>
      </c>
      <c r="B44" s="7">
        <v>2514</v>
      </c>
      <c r="C44" s="6" t="s">
        <v>16</v>
      </c>
      <c r="D44" s="7">
        <v>2514</v>
      </c>
      <c r="E44" s="8">
        <f t="shared" si="2"/>
        <v>-214</v>
      </c>
      <c r="F44" s="9">
        <f t="shared" si="3"/>
        <v>-7.844574780058651E-2</v>
      </c>
    </row>
    <row r="45" spans="1:36" x14ac:dyDescent="0.2">
      <c r="A45" s="2" t="s">
        <v>61</v>
      </c>
      <c r="B45" s="4">
        <v>1921</v>
      </c>
      <c r="C45" s="3" t="s">
        <v>18</v>
      </c>
      <c r="D45" s="4">
        <v>1921</v>
      </c>
      <c r="E45" s="10">
        <f t="shared" si="2"/>
        <v>-593</v>
      </c>
      <c r="F45" s="11">
        <f t="shared" si="3"/>
        <v>-0.23587907716786</v>
      </c>
    </row>
    <row r="46" spans="1:36" x14ac:dyDescent="0.2">
      <c r="A46" s="5" t="s">
        <v>62</v>
      </c>
      <c r="B46" s="7">
        <v>2621</v>
      </c>
      <c r="C46" s="6" t="s">
        <v>20</v>
      </c>
      <c r="D46" s="7">
        <v>2621</v>
      </c>
      <c r="E46" s="8">
        <f t="shared" si="2"/>
        <v>700</v>
      </c>
      <c r="F46" s="9">
        <f t="shared" si="3"/>
        <v>0.36439354502863092</v>
      </c>
    </row>
    <row r="47" spans="1:36" x14ac:dyDescent="0.2">
      <c r="A47" s="2" t="s">
        <v>63</v>
      </c>
      <c r="B47" s="4">
        <v>3096</v>
      </c>
      <c r="C47" s="3" t="s">
        <v>22</v>
      </c>
      <c r="D47" s="4">
        <v>3096</v>
      </c>
      <c r="E47" s="10">
        <f t="shared" si="2"/>
        <v>475</v>
      </c>
      <c r="F47" s="11">
        <f t="shared" si="3"/>
        <v>0.18122853872567724</v>
      </c>
    </row>
    <row r="48" spans="1:36" x14ac:dyDescent="0.2">
      <c r="A48" s="5" t="s">
        <v>64</v>
      </c>
      <c r="B48" s="7">
        <v>3143</v>
      </c>
      <c r="C48" s="6" t="s">
        <v>24</v>
      </c>
      <c r="D48" s="7">
        <v>3143</v>
      </c>
      <c r="E48" s="8">
        <f t="shared" si="2"/>
        <v>47</v>
      </c>
      <c r="F48" s="9">
        <f t="shared" si="3"/>
        <v>1.5180878552971577E-2</v>
      </c>
    </row>
    <row r="49" spans="1:6" x14ac:dyDescent="0.2">
      <c r="A49" s="2" t="s">
        <v>65</v>
      </c>
      <c r="B49" s="4">
        <v>3369</v>
      </c>
      <c r="C49" s="3" t="s">
        <v>26</v>
      </c>
      <c r="D49" s="4">
        <v>3369</v>
      </c>
      <c r="E49" s="10">
        <f t="shared" si="2"/>
        <v>226</v>
      </c>
      <c r="F49" s="11">
        <f t="shared" si="3"/>
        <v>7.1905822462615329E-2</v>
      </c>
    </row>
    <row r="50" spans="1:6" x14ac:dyDescent="0.2">
      <c r="A50" s="5" t="s">
        <v>66</v>
      </c>
      <c r="B50" s="7">
        <v>3511</v>
      </c>
      <c r="C50" s="6" t="s">
        <v>28</v>
      </c>
      <c r="D50" s="7">
        <v>3511</v>
      </c>
      <c r="E50" s="8">
        <f t="shared" si="2"/>
        <v>142</v>
      </c>
      <c r="F50" s="9">
        <f t="shared" si="3"/>
        <v>4.2149005639655686E-2</v>
      </c>
    </row>
    <row r="51" spans="1:6" x14ac:dyDescent="0.2">
      <c r="A51" s="2" t="s">
        <v>67</v>
      </c>
      <c r="B51" s="4">
        <v>3677</v>
      </c>
      <c r="C51" s="3" t="s">
        <v>30</v>
      </c>
      <c r="D51" s="4">
        <v>3677</v>
      </c>
      <c r="E51" s="10">
        <f t="shared" si="2"/>
        <v>166</v>
      </c>
      <c r="F51" s="11">
        <f t="shared" si="3"/>
        <v>4.7279977214468812E-2</v>
      </c>
    </row>
    <row r="52" spans="1:6" x14ac:dyDescent="0.2">
      <c r="A52" s="5" t="s">
        <v>68</v>
      </c>
      <c r="B52" s="7">
        <v>3511</v>
      </c>
      <c r="C52" s="6" t="s">
        <v>32</v>
      </c>
      <c r="D52" s="7">
        <v>3511</v>
      </c>
      <c r="E52" s="8">
        <f t="shared" si="2"/>
        <v>-166</v>
      </c>
      <c r="F52" s="9">
        <f t="shared" si="3"/>
        <v>-4.5145499048137069E-2</v>
      </c>
    </row>
    <row r="53" spans="1:6" x14ac:dyDescent="0.2">
      <c r="A53" s="2" t="s">
        <v>69</v>
      </c>
      <c r="B53" s="4">
        <v>3598</v>
      </c>
      <c r="C53" s="3" t="s">
        <v>9</v>
      </c>
      <c r="D53" s="4">
        <v>3598</v>
      </c>
      <c r="E53" s="10">
        <f t="shared" si="2"/>
        <v>87</v>
      </c>
      <c r="F53" s="11">
        <f t="shared" si="3"/>
        <v>2.4779265166619196E-2</v>
      </c>
    </row>
    <row r="54" spans="1:6" x14ac:dyDescent="0.2">
      <c r="A54" s="5" t="s">
        <v>70</v>
      </c>
      <c r="B54" s="7">
        <v>3259</v>
      </c>
      <c r="C54" s="6" t="s">
        <v>12</v>
      </c>
      <c r="D54" s="7">
        <v>3259</v>
      </c>
      <c r="E54" s="8">
        <f t="shared" si="2"/>
        <v>-339</v>
      </c>
      <c r="F54" s="9">
        <f t="shared" si="3"/>
        <v>-9.4219010561423011E-2</v>
      </c>
    </row>
    <row r="55" spans="1:6" x14ac:dyDescent="0.2">
      <c r="A55" s="2" t="s">
        <v>71</v>
      </c>
      <c r="B55" s="4">
        <v>2924</v>
      </c>
      <c r="C55" s="3" t="s">
        <v>14</v>
      </c>
      <c r="D55" s="4">
        <v>2924</v>
      </c>
      <c r="E55" s="10">
        <f t="shared" si="2"/>
        <v>-335</v>
      </c>
      <c r="F55" s="11">
        <f t="shared" si="3"/>
        <v>-0.10279226756673826</v>
      </c>
    </row>
    <row r="56" spans="1:6" x14ac:dyDescent="0.2">
      <c r="A56" s="5" t="s">
        <v>72</v>
      </c>
      <c r="B56" s="7">
        <v>2650</v>
      </c>
      <c r="C56" s="6" t="s">
        <v>16</v>
      </c>
      <c r="D56" s="7">
        <v>2650</v>
      </c>
      <c r="E56" s="8">
        <f t="shared" si="2"/>
        <v>-274</v>
      </c>
      <c r="F56" s="9">
        <f t="shared" si="3"/>
        <v>-9.370725034199727E-2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baseColWidth="10" defaultColWidth="8.83203125" defaultRowHeight="15" x14ac:dyDescent="0.2"/>
  <cols>
    <col min="1" max="1" width="22" customWidth="1"/>
    <col min="2" max="3" width="16" customWidth="1"/>
    <col min="4" max="4" width="12" customWidth="1"/>
  </cols>
  <sheetData>
    <row r="1" spans="1:4" ht="17" x14ac:dyDescent="0.2">
      <c r="A1" s="14" t="s">
        <v>73</v>
      </c>
      <c r="B1" s="13"/>
      <c r="C1" s="13"/>
      <c r="D1" s="13"/>
    </row>
    <row r="3" spans="1:4" x14ac:dyDescent="0.2">
      <c r="A3" s="1" t="s">
        <v>3</v>
      </c>
      <c r="B3" s="1" t="s">
        <v>74</v>
      </c>
      <c r="C3" s="1" t="s">
        <v>75</v>
      </c>
      <c r="D3" s="1" t="s">
        <v>76</v>
      </c>
    </row>
    <row r="4" spans="1:4" x14ac:dyDescent="0.2">
      <c r="A4" s="2" t="s">
        <v>77</v>
      </c>
      <c r="B4" s="4">
        <v>17072</v>
      </c>
      <c r="C4" s="3" t="s">
        <v>10</v>
      </c>
      <c r="D4" s="3" t="s">
        <v>10</v>
      </c>
    </row>
    <row r="5" spans="1:4" x14ac:dyDescent="0.2">
      <c r="A5" s="5" t="s">
        <v>78</v>
      </c>
      <c r="B5" s="7">
        <v>43677</v>
      </c>
      <c r="C5" s="8">
        <v>26605</v>
      </c>
      <c r="D5" s="9">
        <v>1.5583997188378631</v>
      </c>
    </row>
    <row r="6" spans="1:4" x14ac:dyDescent="0.2">
      <c r="A6" s="2" t="s">
        <v>79</v>
      </c>
      <c r="B6" s="4">
        <v>34671</v>
      </c>
      <c r="C6" s="10">
        <v>-9006</v>
      </c>
      <c r="D6" s="11">
        <v>-0.20619548045882269</v>
      </c>
    </row>
    <row r="7" spans="1:4" x14ac:dyDescent="0.2">
      <c r="A7" s="5" t="s">
        <v>80</v>
      </c>
      <c r="B7" s="7">
        <v>35667</v>
      </c>
      <c r="C7" s="8">
        <v>996</v>
      </c>
      <c r="D7" s="9">
        <v>2.872717833347755E-2</v>
      </c>
    </row>
    <row r="8" spans="1:4" x14ac:dyDescent="0.2">
      <c r="A8" s="2" t="s">
        <v>81</v>
      </c>
      <c r="B8" s="4">
        <v>37280</v>
      </c>
      <c r="C8" s="10">
        <v>1613</v>
      </c>
      <c r="D8" s="11">
        <v>4.5223876412369968E-2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2026-02-26T18:35:12Z</dcterms:created>
  <dcterms:modified xsi:type="dcterms:W3CDTF">2026-02-26T18:47:34Z</dcterms:modified>
</cp:coreProperties>
</file>