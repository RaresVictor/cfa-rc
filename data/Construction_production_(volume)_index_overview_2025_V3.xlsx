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eceuropaeu-my.sharepoint.com/personal/karina-joanna_karpinska_ext_ec_europa_eu/Documents/"/>
    </mc:Choice>
  </mc:AlternateContent>
  <xr:revisionPtr revIDLastSave="0" documentId="8_{3D034200-3BC7-4187-9910-583934D120E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igure 1" sheetId="2" r:id="rId1"/>
    <sheet name="Figure 2" sheetId="3" r:id="rId2"/>
    <sheet name="Table 1" sheetId="4" r:id="rId3"/>
    <sheet name="Table 2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17" i="4"/>
  <c r="J16" i="4"/>
  <c r="BM16" i="2"/>
  <c r="DY17" i="2"/>
  <c r="DY16" i="2"/>
  <c r="K17" i="4"/>
  <c r="K18" i="4"/>
  <c r="K19" i="4"/>
  <c r="K20" i="4"/>
  <c r="K21" i="4"/>
  <c r="K22" i="4"/>
  <c r="K23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16" i="4"/>
</calcChain>
</file>

<file path=xl/sharedStrings.xml><?xml version="1.0" encoding="utf-8"?>
<sst xmlns="http://schemas.openxmlformats.org/spreadsheetml/2006/main" count="498" uniqueCount="200">
  <si>
    <t>Production in construction - monthly data [sts_copr_m]</t>
  </si>
  <si>
    <t>Last update</t>
  </si>
  <si>
    <t>Extracted on</t>
  </si>
  <si>
    <t>Source of data</t>
  </si>
  <si>
    <t>Eurostat</t>
  </si>
  <si>
    <t>INDIC_BT</t>
  </si>
  <si>
    <t>Volume index of production</t>
  </si>
  <si>
    <t>NACE_R2</t>
  </si>
  <si>
    <t>Construction</t>
  </si>
  <si>
    <t>S_ADJ</t>
  </si>
  <si>
    <t>Seasonally and calendar adjusted data</t>
  </si>
  <si>
    <t>UNIT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</si>
  <si>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</si>
  <si>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</si>
  <si>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</si>
  <si>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</si>
  <si>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</si>
  <si>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</si>
  <si>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</si>
  <si>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</si>
  <si>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</si>
  <si>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</si>
  <si>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</si>
  <si>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</si>
  <si>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</si>
  <si>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</si>
  <si>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</si>
  <si>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</si>
  <si>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</si>
  <si>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</si>
  <si>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</si>
  <si>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</si>
  <si>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</si>
  <si>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</si>
  <si>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</si>
  <si>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</si>
  <si>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</si>
  <si>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</si>
  <si>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</si>
  <si>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</si>
  <si>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</si>
  <si>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</si>
  <si>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</si>
  <si>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</si>
  <si>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</si>
  <si>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:</t>
  </si>
  <si>
    <t>Buildings</t>
  </si>
  <si>
    <t>Civil engineering</t>
  </si>
  <si>
    <t>Production in construction - annual data [sts_copr_a]</t>
  </si>
  <si>
    <t>Calendar adjusted data, not seasonally adjusted data</t>
  </si>
  <si>
    <t>Percentage change compared to same period in previous year</t>
  </si>
  <si>
    <t>Belgium</t>
  </si>
  <si>
    <t>Bulgaria</t>
  </si>
  <si>
    <t>Denmark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</si>
  <si>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</si>
  <si>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</si>
  <si>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</si>
  <si>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</si>
  <si>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</si>
  <si>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</si>
  <si>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</si>
  <si>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</si>
  <si>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</si>
  <si>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</si>
  <si>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</si>
  <si>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</si>
  <si>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</si>
  <si>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</si>
  <si>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</si>
  <si>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</si>
  <si>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</si>
  <si>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</si>
  <si>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</si>
  <si>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</si>
  <si>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</si>
  <si>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</si>
  <si>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</si>
  <si>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Switzerland</t>
  </si>
  <si>
    <t>Montenegro</t>
  </si>
  <si>
    <t>Albania</t>
  </si>
  <si>
    <t>Serbia</t>
  </si>
  <si>
    <t>Bosnia and Herzegovina</t>
  </si>
  <si>
    <t>Germany</t>
  </si>
  <si>
    <t>( : ) not available</t>
  </si>
  <si>
    <t xml:space="preserve"> 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</si>
  <si>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</si>
  <si>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</si>
  <si>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</si>
  <si>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</si>
  <si>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</si>
  <si>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</si>
  <si>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</si>
  <si>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</si>
  <si>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</si>
  <si>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</si>
  <si>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</si>
  <si>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</si>
  <si>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</si>
  <si>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</si>
  <si>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</si>
  <si>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</si>
  <si>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</si>
  <si>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</si>
  <si>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</si>
  <si>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</si>
  <si>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</si>
  <si>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</si>
  <si>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Czechia</t>
  </si>
  <si>
    <t>North Macedonia</t>
  </si>
  <si>
    <t>2020M2</t>
  </si>
  <si>
    <t>2020M3</t>
  </si>
  <si>
    <t>2020M4</t>
  </si>
  <si>
    <t>2020M5</t>
  </si>
  <si>
    <t>2020M6</t>
  </si>
  <si>
    <t>2020M7</t>
  </si>
  <si>
    <t>2020M8</t>
  </si>
  <si>
    <t>EU-27, Volume index of production</t>
  </si>
  <si>
    <t>EU</t>
  </si>
  <si>
    <t>2020M9</t>
  </si>
  <si>
    <t>2020M10</t>
  </si>
  <si>
    <t>2020M11</t>
  </si>
  <si>
    <t>2020M12</t>
  </si>
  <si>
    <t>2021M02</t>
  </si>
  <si>
    <t>2021M03</t>
  </si>
  <si>
    <t>2021M04</t>
  </si>
  <si>
    <t>2021M05</t>
  </si>
  <si>
    <t>2021M06</t>
  </si>
  <si>
    <t>2021M07</t>
  </si>
  <si>
    <t>2021M08</t>
  </si>
  <si>
    <t>2020</t>
  </si>
  <si>
    <t>2021M09</t>
  </si>
  <si>
    <t>2021M10</t>
  </si>
  <si>
    <t>2021M11</t>
  </si>
  <si>
    <t>2021M12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</si>
  <si>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</si>
  <si>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</si>
  <si>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</si>
  <si>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</si>
  <si>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</si>
  <si>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</si>
  <si>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</si>
  <si>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</si>
  <si>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</si>
  <si>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</si>
  <si>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</si>
  <si>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2023M02</t>
  </si>
  <si>
    <t>2023M03</t>
  </si>
  <si>
    <t>2023M04</t>
  </si>
  <si>
    <t>2023M05</t>
  </si>
  <si>
    <t>2023M06</t>
  </si>
  <si>
    <t>2023M07</t>
  </si>
  <si>
    <t>2023M08</t>
  </si>
  <si>
    <t>Euro area</t>
  </si>
  <si>
    <r>
      <t>Source:</t>
    </r>
    <r>
      <rPr>
        <sz val="10"/>
        <rFont val="Arial"/>
        <family val="2"/>
      </rPr>
      <t xml:space="preserve"> Eurostat (online data code: sts_copr_m)</t>
    </r>
  </si>
  <si>
    <r>
      <t>Source:</t>
    </r>
    <r>
      <rPr>
        <sz val="10"/>
        <rFont val="Arial"/>
        <family val="2"/>
      </rPr>
      <t xml:space="preserve"> Eurostat (online data code: sts_copr_a)</t>
    </r>
  </si>
  <si>
    <t>2023M09</t>
  </si>
  <si>
    <t>2023M10</t>
  </si>
  <si>
    <t>2023M11</t>
  </si>
  <si>
    <t>2023M12</t>
  </si>
  <si>
    <t>2024M02</t>
  </si>
  <si>
    <t>2024M03</t>
  </si>
  <si>
    <t>2024M04</t>
  </si>
  <si>
    <t>2024M05</t>
  </si>
  <si>
    <t>2024M06</t>
  </si>
  <si>
    <t>2024M07</t>
  </si>
  <si>
    <t>2024M08</t>
  </si>
  <si>
    <t>Index, 2021=100</t>
  </si>
  <si>
    <t>Specialised activities</t>
  </si>
  <si>
    <t>Construction, Buildings, Civil engineering, Specialised construction activities</t>
  </si>
  <si>
    <t>2021-2023</t>
  </si>
  <si>
    <t>Note: (vertical) y-axis does not start at 0.</t>
  </si>
  <si>
    <t>2024M09</t>
  </si>
  <si>
    <t>2024M10</t>
  </si>
  <si>
    <t>2024M11</t>
  </si>
  <si>
    <t>2024M12</t>
  </si>
  <si>
    <t>2025M02</t>
  </si>
  <si>
    <t>2025M03</t>
  </si>
  <si>
    <t>2025M04</t>
  </si>
  <si>
    <t>2025M05</t>
  </si>
  <si>
    <t>2025M06</t>
  </si>
  <si>
    <t>2025M07</t>
  </si>
  <si>
    <t>2025M08</t>
  </si>
  <si>
    <t>20.10.2025</t>
  </si>
  <si>
    <t>Türkiye</t>
  </si>
  <si>
    <t>2020-2024</t>
  </si>
  <si>
    <t>Civil Engineering</t>
  </si>
  <si>
    <t>Specialised Activities</t>
  </si>
  <si>
    <t>Figure 2: Construction production per type of construction, EU, 2015-2025</t>
  </si>
  <si>
    <t>(index 2021=100, calendar and seasonally adjusted data)</t>
  </si>
  <si>
    <t>Figure 1: Construction production, EU, 2015-2025</t>
  </si>
  <si>
    <t>Table 1: Annual rates of change for total construction, EU, 2020-2024</t>
  </si>
  <si>
    <t>(%, calendar adjusted data)</t>
  </si>
  <si>
    <t>Table 2: Construction of buildings, civil engineering, and specialised activities, EU, 2022-2024</t>
  </si>
  <si>
    <t>(%, calendar adjusted data, annual rates of change)</t>
  </si>
  <si>
    <t>https://ec.europa.eu/eurostat/databrowser/bookmark/4f32e90c-fcb2-4839-9508-08434d79a88d?lang=en&amp;createdAt=2025-10-21T12:08:27Z</t>
  </si>
  <si>
    <t>https://ec.europa.eu/eurostat/databrowser/bookmark/9fdf041d-6be9-4bbe-82b6-1639b047b119?lang=en&amp;createdAt=2025-10-21T12:16:26Z</t>
  </si>
  <si>
    <t>Bookmark</t>
  </si>
  <si>
    <t>sts_copr_m</t>
  </si>
  <si>
    <t>https://ec.europa.eu/eurostat/databrowser/view/sts_copr_m__custom_18502880/bookmark/table?lang=en&amp;bookmarkId=4f32e90c-fcb2-4839-9508-08434d79a88d&amp;c=1761048507000</t>
  </si>
  <si>
    <t>sts_copr_a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</si>
</sst>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#,##0.0"/>
    <numFmt numFmtId="166" formatCode="0.0"/>
    <numFmt numFmtId="167" formatCode="#,##0.##########"/>
  </numFmts>
  <fonts count="10" x14ac:knownFonts="1">
    <font>
      <sz val="11"/>
      <name val="Arial"/>
      <charset val="238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8"/>
      <name val="Arial"/>
      <charset val="238"/>
    </font>
    <font>
      <sz val="9"/>
      <name val="Arial"/>
    </font>
    <font>
      <u/>
      <sz val="11"/>
      <color theme="10"/>
      <name val="Arial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F6F6"/>
      </patternFill>
    </fill>
  </fills>
  <borders count="4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/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/>
      <bottom style="hair">
        <color rgb="FFC0C0C0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/>
      <right style="hair">
        <color rgb="FFA6A6A6"/>
      </right>
      <top style="thin">
        <color rgb="FF000000"/>
      </top>
      <bottom style="hair">
        <color rgb="FFC0C0C0"/>
      </bottom>
      <diagonal/>
    </border>
    <border>
      <left/>
      <right style="hair">
        <color rgb="FFA6A6A6"/>
      </right>
      <top style="hair">
        <color rgb="FFC0C0C0"/>
      </top>
      <bottom style="hair">
        <color rgb="FFC0C0C0"/>
      </bottom>
      <diagonal/>
    </border>
    <border>
      <left/>
      <right style="hair">
        <color rgb="FFA6A6A6"/>
      </right>
      <top style="hair">
        <color rgb="FFC0C0C0"/>
      </top>
      <bottom style="thin">
        <color rgb="FF000000"/>
      </bottom>
      <diagonal/>
    </border>
    <border>
      <left/>
      <right style="hair">
        <color rgb="FFA6A6A6"/>
      </right>
      <top style="hair">
        <color rgb="FFC0C0C0"/>
      </top>
      <bottom/>
      <diagonal/>
    </border>
    <border>
      <left/>
      <right style="hair">
        <color rgb="FFA6A6A6"/>
      </right>
      <top/>
      <bottom/>
      <diagonal/>
    </border>
    <border>
      <left/>
      <right style="hair">
        <color rgb="FFA6A6A6"/>
      </right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hair">
        <color indexed="55"/>
      </left>
      <right/>
      <top style="thin">
        <color rgb="FF000000"/>
      </top>
      <bottom/>
      <diagonal/>
    </border>
    <border>
      <left style="hair">
        <color indexed="55"/>
      </left>
      <right/>
      <top style="hair">
        <color rgb="FFC0C0C0"/>
      </top>
      <bottom/>
      <diagonal/>
    </border>
    <border>
      <left style="hair">
        <color indexed="55"/>
      </left>
      <right/>
      <top/>
      <bottom/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hair">
        <color indexed="55"/>
      </left>
      <right/>
      <top style="hair">
        <color rgb="FFC0C0C0"/>
      </top>
      <bottom style="hair">
        <color indexed="22"/>
      </bottom>
      <diagonal/>
    </border>
    <border>
      <left style="hair">
        <color rgb="FFA6A6A6"/>
      </left>
      <right/>
      <top style="hair">
        <color rgb="FFC0C0C0"/>
      </top>
      <bottom style="hair">
        <color indexed="22"/>
      </bottom>
      <diagonal/>
    </border>
    <border>
      <left style="hair">
        <color indexed="55"/>
      </left>
      <right/>
      <top style="hair">
        <color indexed="22"/>
      </top>
      <bottom/>
      <diagonal/>
    </border>
    <border>
      <left style="hair">
        <color rgb="FFA6A6A6"/>
      </left>
      <right/>
      <top style="hair">
        <color indexed="22"/>
      </top>
      <bottom/>
      <diagonal/>
    </border>
    <border>
      <left style="hair">
        <color rgb="FFA6A6A6"/>
      </left>
      <right/>
      <top style="thin">
        <color indexed="8"/>
      </top>
      <bottom style="hair">
        <color rgb="FFC0C0C0"/>
      </bottom>
      <diagonal/>
    </border>
    <border>
      <left style="hair">
        <color indexed="55"/>
      </left>
      <right/>
      <top style="thin">
        <color indexed="8"/>
      </top>
      <bottom/>
      <diagonal/>
    </border>
    <border>
      <left style="hair">
        <color rgb="FFA6A6A6"/>
      </left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55"/>
      </left>
      <right/>
      <top style="thin">
        <color indexed="8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/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indexed="64"/>
      </bottom>
      <diagonal/>
    </border>
    <border>
      <left style="hair">
        <color rgb="FFA6A6A6"/>
      </left>
      <right style="hair">
        <color rgb="FFA6A6A6"/>
      </right>
      <top style="thin">
        <color rgb="FF00000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9">
    <xf numFmtId="0" fontId="0" fillId="0" borderId="0" xfId="0"/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/>
    <xf numFmtId="0" fontId="3" fillId="0" borderId="0" xfId="0" applyFont="1"/>
    <xf numFmtId="164" fontId="3" fillId="0" borderId="0" xfId="0" applyNumberFormat="1" applyFont="1" applyFill="1" applyBorder="1" applyAlignment="1"/>
    <xf numFmtId="0" fontId="3" fillId="2" borderId="1" xfId="0" applyNumberFormat="1" applyFont="1" applyFill="1" applyBorder="1" applyAlignment="1"/>
    <xf numFmtId="165" fontId="3" fillId="0" borderId="0" xfId="0" applyNumberFormat="1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/>
    <xf numFmtId="165" fontId="3" fillId="0" borderId="0" xfId="0" applyNumberFormat="1" applyFont="1" applyFill="1" applyBorder="1" applyAlignment="1"/>
    <xf numFmtId="166" fontId="3" fillId="0" borderId="0" xfId="0" applyNumberFormat="1" applyFont="1" applyFill="1" applyBorder="1"/>
    <xf numFmtId="0" fontId="4" fillId="0" borderId="7" xfId="0" applyNumberFormat="1" applyFont="1" applyFill="1" applyBorder="1" applyAlignment="1">
      <alignment horizontal="left"/>
    </xf>
    <xf numFmtId="0" fontId="4" fillId="0" borderId="6" xfId="0" applyNumberFormat="1" applyFont="1" applyFill="1" applyBorder="1" applyAlignment="1">
      <alignment horizontal="left"/>
    </xf>
    <xf numFmtId="165" fontId="3" fillId="0" borderId="6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left"/>
    </xf>
    <xf numFmtId="165" fontId="3" fillId="0" borderId="8" xfId="0" applyNumberFormat="1" applyFont="1" applyFill="1" applyBorder="1" applyAlignment="1">
      <alignment horizontal="center"/>
    </xf>
    <xf numFmtId="165" fontId="3" fillId="0" borderId="3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/>
    <xf numFmtId="165" fontId="3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0" fontId="4" fillId="0" borderId="0" xfId="0" applyFont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horizontal="center" vertical="center"/>
    </xf>
    <xf numFmtId="0" fontId="4" fillId="3" borderId="12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left"/>
    </xf>
    <xf numFmtId="0" fontId="4" fillId="4" borderId="4" xfId="0" applyNumberFormat="1" applyFont="1" applyFill="1" applyBorder="1" applyAlignment="1">
      <alignment horizontal="left"/>
    </xf>
    <xf numFmtId="0" fontId="4" fillId="0" borderId="5" xfId="0" applyNumberFormat="1" applyFont="1" applyFill="1" applyBorder="1" applyAlignment="1">
      <alignment horizontal="left"/>
    </xf>
    <xf numFmtId="0" fontId="5" fillId="0" borderId="0" xfId="0" applyFont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3" borderId="3" xfId="0" applyFont="1" applyFill="1" applyBorder="1" applyAlignment="1">
      <alignment horizontal="center" vertical="center"/>
    </xf>
    <xf numFmtId="165" fontId="3" fillId="0" borderId="9" xfId="0" applyNumberFormat="1" applyFont="1" applyFill="1" applyBorder="1" applyAlignment="1">
      <alignment horizontal="center"/>
    </xf>
    <xf numFmtId="165" fontId="3" fillId="0" borderId="10" xfId="0" applyNumberFormat="1" applyFont="1" applyFill="1" applyBorder="1" applyAlignment="1">
      <alignment horizontal="center"/>
    </xf>
    <xf numFmtId="0" fontId="3" fillId="0" borderId="10" xfId="0" applyNumberFormat="1" applyFont="1" applyFill="1" applyBorder="1" applyAlignment="1">
      <alignment horizontal="center"/>
    </xf>
    <xf numFmtId="165" fontId="3" fillId="0" borderId="5" xfId="0" applyNumberFormat="1" applyFont="1" applyFill="1" applyBorder="1" applyAlignment="1">
      <alignment horizontal="center"/>
    </xf>
    <xf numFmtId="165" fontId="3" fillId="0" borderId="12" xfId="0" applyNumberFormat="1" applyFont="1" applyFill="1" applyBorder="1" applyAlignment="1">
      <alignment horizontal="center"/>
    </xf>
    <xf numFmtId="165" fontId="3" fillId="0" borderId="11" xfId="0" applyNumberFormat="1" applyFont="1" applyFill="1" applyBorder="1" applyAlignment="1">
      <alignment horizontal="center"/>
    </xf>
    <xf numFmtId="165" fontId="3" fillId="0" borderId="13" xfId="0" applyNumberFormat="1" applyFont="1" applyFill="1" applyBorder="1" applyAlignment="1">
      <alignment horizontal="center"/>
    </xf>
    <xf numFmtId="167" fontId="8" fillId="0" borderId="0" xfId="0" applyNumberFormat="1" applyFont="1" applyAlignment="1">
      <alignment horizontal="right" vertical="center" shrinkToFit="1"/>
    </xf>
    <xf numFmtId="165" fontId="8" fillId="0" borderId="0" xfId="0" applyNumberFormat="1" applyFont="1" applyAlignment="1">
      <alignment horizontal="right" vertical="center" shrinkToFit="1"/>
    </xf>
    <xf numFmtId="167" fontId="8" fillId="5" borderId="0" xfId="0" applyNumberFormat="1" applyFont="1" applyFill="1" applyAlignment="1">
      <alignment horizontal="right" vertical="center" shrinkToFit="1"/>
    </xf>
    <xf numFmtId="165" fontId="8" fillId="5" borderId="0" xfId="0" applyNumberFormat="1" applyFont="1" applyFill="1" applyAlignment="1">
      <alignment horizontal="right" vertical="center" shrinkToFit="1"/>
    </xf>
    <xf numFmtId="165" fontId="3" fillId="0" borderId="14" xfId="0" applyNumberFormat="1" applyFont="1" applyFill="1" applyBorder="1" applyAlignment="1">
      <alignment horizontal="center"/>
    </xf>
    <xf numFmtId="166" fontId="3" fillId="0" borderId="0" xfId="0" applyNumberFormat="1" applyFont="1"/>
    <xf numFmtId="0" fontId="4" fillId="3" borderId="15" xfId="0" applyNumberFormat="1" applyFont="1" applyFill="1" applyBorder="1" applyAlignment="1">
      <alignment horizontal="center" vertical="center"/>
    </xf>
    <xf numFmtId="165" fontId="4" fillId="4" borderId="16" xfId="0" applyNumberFormat="1" applyFont="1" applyFill="1" applyBorder="1" applyAlignment="1">
      <alignment horizontal="center" vertical="center"/>
    </xf>
    <xf numFmtId="165" fontId="4" fillId="4" borderId="17" xfId="0" applyNumberFormat="1" applyFont="1" applyFill="1" applyBorder="1" applyAlignment="1">
      <alignment horizontal="center" vertical="center"/>
    </xf>
    <xf numFmtId="165" fontId="3" fillId="0" borderId="18" xfId="0" applyNumberFormat="1" applyFont="1" applyFill="1" applyBorder="1" applyAlignment="1">
      <alignment horizontal="center"/>
    </xf>
    <xf numFmtId="165" fontId="3" fillId="0" borderId="19" xfId="0" applyNumberFormat="1" applyFont="1" applyFill="1" applyBorder="1" applyAlignment="1">
      <alignment horizontal="center"/>
    </xf>
    <xf numFmtId="165" fontId="3" fillId="0" borderId="20" xfId="0" applyNumberFormat="1" applyFont="1" applyFill="1" applyBorder="1" applyAlignment="1">
      <alignment horizontal="center"/>
    </xf>
    <xf numFmtId="165" fontId="3" fillId="0" borderId="16" xfId="0" applyNumberFormat="1" applyFont="1" applyFill="1" applyBorder="1" applyAlignment="1">
      <alignment horizontal="center"/>
    </xf>
    <xf numFmtId="165" fontId="3" fillId="0" borderId="17" xfId="0" applyNumberFormat="1" applyFont="1" applyFill="1" applyBorder="1" applyAlignment="1">
      <alignment horizontal="center"/>
    </xf>
    <xf numFmtId="165" fontId="3" fillId="0" borderId="21" xfId="0" applyNumberFormat="1" applyFont="1" applyFill="1" applyBorder="1" applyAlignment="1">
      <alignment horizontal="center"/>
    </xf>
    <xf numFmtId="165" fontId="3" fillId="0" borderId="22" xfId="0" applyNumberFormat="1" applyFont="1" applyFill="1" applyBorder="1" applyAlignment="1">
      <alignment horizontal="center"/>
    </xf>
    <xf numFmtId="0" fontId="4" fillId="3" borderId="23" xfId="0" applyNumberFormat="1" applyFont="1" applyFill="1" applyBorder="1" applyAlignment="1">
      <alignment horizontal="center" vertical="center"/>
    </xf>
    <xf numFmtId="0" fontId="4" fillId="4" borderId="23" xfId="0" applyNumberFormat="1" applyFont="1" applyFill="1" applyBorder="1" applyAlignment="1">
      <alignment horizontal="left" vertical="center"/>
    </xf>
    <xf numFmtId="0" fontId="4" fillId="4" borderId="24" xfId="0" applyNumberFormat="1" applyFont="1" applyFill="1" applyBorder="1" applyAlignment="1">
      <alignment horizontal="left" vertical="center"/>
    </xf>
    <xf numFmtId="0" fontId="4" fillId="0" borderId="23" xfId="0" applyNumberFormat="1" applyFont="1" applyFill="1" applyBorder="1" applyAlignment="1">
      <alignment horizontal="left"/>
    </xf>
    <xf numFmtId="0" fontId="4" fillId="0" borderId="24" xfId="0" applyNumberFormat="1" applyFont="1" applyFill="1" applyBorder="1" applyAlignment="1">
      <alignment horizontal="left"/>
    </xf>
    <xf numFmtId="0" fontId="4" fillId="0" borderId="25" xfId="0" applyNumberFormat="1" applyFont="1" applyFill="1" applyBorder="1" applyAlignment="1">
      <alignment horizontal="left"/>
    </xf>
    <xf numFmtId="165" fontId="4" fillId="4" borderId="15" xfId="0" applyNumberFormat="1" applyFont="1" applyFill="1" applyBorder="1" applyAlignment="1">
      <alignment horizontal="center" vertical="center"/>
    </xf>
    <xf numFmtId="165" fontId="4" fillId="4" borderId="22" xfId="0" applyNumberFormat="1" applyFont="1" applyFill="1" applyBorder="1" applyAlignment="1">
      <alignment horizontal="center" vertical="center"/>
    </xf>
    <xf numFmtId="165" fontId="3" fillId="0" borderId="15" xfId="0" applyNumberFormat="1" applyFont="1" applyFill="1" applyBorder="1" applyAlignment="1">
      <alignment horizontal="center"/>
    </xf>
    <xf numFmtId="165" fontId="3" fillId="0" borderId="26" xfId="0" applyNumberFormat="1" applyFont="1" applyFill="1" applyBorder="1" applyAlignment="1">
      <alignment horizontal="center"/>
    </xf>
    <xf numFmtId="0" fontId="4" fillId="0" borderId="27" xfId="0" applyNumberFormat="1" applyFont="1" applyFill="1" applyBorder="1" applyAlignment="1">
      <alignment horizontal="left"/>
    </xf>
    <xf numFmtId="165" fontId="3" fillId="0" borderId="28" xfId="0" applyNumberFormat="1" applyFont="1" applyFill="1" applyBorder="1" applyAlignment="1">
      <alignment horizontal="center"/>
    </xf>
    <xf numFmtId="0" fontId="4" fillId="0" borderId="29" xfId="0" applyNumberFormat="1" applyFont="1" applyFill="1" applyBorder="1" applyAlignment="1">
      <alignment horizontal="left"/>
    </xf>
    <xf numFmtId="165" fontId="3" fillId="0" borderId="30" xfId="0" applyNumberFormat="1" applyFont="1" applyFill="1" applyBorder="1" applyAlignment="1">
      <alignment horizontal="center"/>
    </xf>
    <xf numFmtId="165" fontId="3" fillId="0" borderId="31" xfId="0" applyNumberFormat="1" applyFont="1" applyFill="1" applyBorder="1" applyAlignment="1">
      <alignment horizontal="center"/>
    </xf>
    <xf numFmtId="0" fontId="4" fillId="0" borderId="32" xfId="0" applyNumberFormat="1" applyFont="1" applyFill="1" applyBorder="1" applyAlignment="1">
      <alignment horizontal="left"/>
    </xf>
    <xf numFmtId="165" fontId="3" fillId="0" borderId="33" xfId="0" applyNumberFormat="1" applyFont="1" applyFill="1" applyBorder="1" applyAlignment="1">
      <alignment horizontal="center"/>
    </xf>
    <xf numFmtId="0" fontId="4" fillId="0" borderId="34" xfId="0" applyNumberFormat="1" applyFont="1" applyFill="1" applyBorder="1" applyAlignment="1">
      <alignment horizontal="left"/>
    </xf>
    <xf numFmtId="165" fontId="3" fillId="0" borderId="34" xfId="0" applyNumberFormat="1" applyFont="1" applyFill="1" applyBorder="1" applyAlignment="1">
      <alignment horizontal="center"/>
    </xf>
    <xf numFmtId="0" fontId="4" fillId="0" borderId="35" xfId="0" applyNumberFormat="1" applyFont="1" applyFill="1" applyBorder="1" applyAlignment="1">
      <alignment horizontal="left"/>
    </xf>
    <xf numFmtId="0" fontId="4" fillId="3" borderId="22" xfId="0" applyNumberFormat="1" applyFont="1" applyFill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/>
    </xf>
    <xf numFmtId="165" fontId="3" fillId="0" borderId="36" xfId="0" applyNumberFormat="1" applyFont="1" applyFill="1" applyBorder="1" applyAlignment="1">
      <alignment horizontal="center"/>
    </xf>
    <xf numFmtId="165" fontId="3" fillId="0" borderId="37" xfId="0" applyNumberFormat="1" applyFont="1" applyFill="1" applyBorder="1" applyAlignment="1">
      <alignment horizontal="center"/>
    </xf>
    <xf numFmtId="0" fontId="4" fillId="3" borderId="36" xfId="0" applyNumberFormat="1" applyFont="1" applyFill="1" applyBorder="1" applyAlignment="1">
      <alignment horizontal="center" vertical="center"/>
    </xf>
    <xf numFmtId="165" fontId="3" fillId="0" borderId="38" xfId="0" applyNumberFormat="1" applyFont="1" applyFill="1" applyBorder="1" applyAlignment="1">
      <alignment horizontal="center"/>
    </xf>
    <xf numFmtId="0" fontId="3" fillId="0" borderId="26" xfId="0" applyNumberFormat="1" applyFont="1" applyFill="1" applyBorder="1" applyAlignment="1">
      <alignment horizontal="center"/>
    </xf>
    <xf numFmtId="165" fontId="3" fillId="0" borderId="39" xfId="0" applyNumberFormat="1" applyFont="1" applyFill="1" applyBorder="1" applyAlignment="1">
      <alignment horizontal="center"/>
    </xf>
    <xf numFmtId="165" fontId="3" fillId="0" borderId="40" xfId="0" applyNumberFormat="1" applyFont="1" applyFill="1" applyBorder="1" applyAlignment="1">
      <alignment horizontal="center"/>
    </xf>
    <xf numFmtId="0" fontId="4" fillId="3" borderId="34" xfId="0" applyNumberFormat="1" applyFont="1" applyFill="1" applyBorder="1" applyAlignment="1">
      <alignment horizontal="center" vertical="center"/>
    </xf>
    <xf numFmtId="165" fontId="4" fillId="4" borderId="38" xfId="0" applyNumberFormat="1" applyFont="1" applyFill="1" applyBorder="1" applyAlignment="1">
      <alignment horizontal="center"/>
    </xf>
    <xf numFmtId="165" fontId="4" fillId="4" borderId="9" xfId="0" applyNumberFormat="1" applyFont="1" applyFill="1" applyBorder="1" applyAlignment="1">
      <alignment horizontal="center"/>
    </xf>
    <xf numFmtId="165" fontId="4" fillId="4" borderId="3" xfId="0" applyNumberFormat="1" applyFont="1" applyFill="1" applyBorder="1" applyAlignment="1">
      <alignment horizontal="center"/>
    </xf>
    <xf numFmtId="165" fontId="4" fillId="4" borderId="16" xfId="0" applyNumberFormat="1" applyFont="1" applyFill="1" applyBorder="1" applyAlignment="1">
      <alignment horizontal="center"/>
    </xf>
    <xf numFmtId="165" fontId="4" fillId="4" borderId="36" xfId="0" applyNumberFormat="1" applyFont="1" applyFill="1" applyBorder="1" applyAlignment="1">
      <alignment horizontal="center"/>
    </xf>
    <xf numFmtId="165" fontId="4" fillId="4" borderId="12" xfId="0" applyNumberFormat="1" applyFont="1" applyFill="1" applyBorder="1" applyAlignment="1">
      <alignment horizontal="center"/>
    </xf>
    <xf numFmtId="165" fontId="4" fillId="4" borderId="5" xfId="0" applyNumberFormat="1" applyFont="1" applyFill="1" applyBorder="1" applyAlignment="1">
      <alignment horizontal="center"/>
    </xf>
    <xf numFmtId="165" fontId="4" fillId="4" borderId="22" xfId="0" applyNumberFormat="1" applyFont="1" applyFill="1" applyBorder="1" applyAlignment="1">
      <alignment horizontal="center"/>
    </xf>
    <xf numFmtId="0" fontId="9" fillId="0" borderId="0" xfId="1"/>
    <xf numFmtId="0" fontId="9" fillId="0" borderId="0" xfId="1" applyNumberFormat="1" applyFill="1" applyBorder="1" applyAlignment="1"/>
    <xf numFmtId="0" fontId="9" fillId="0" borderId="0" xfId="1" applyBorder="1"/>
    <xf numFmtId="0" fontId="4" fillId="0" borderId="0" xfId="0" applyFont="1"/>
    <xf numFmtId="0" fontId="9" fillId="0" borderId="0" xfId="1" applyFill="1" applyBorder="1" applyAlignment="1">
      <alignment horizontal="left"/>
    </xf>
    <xf numFmtId="0" fontId="4" fillId="0" borderId="0" xfId="0" applyFont="1" applyBorder="1"/>
    <xf numFmtId="0" fontId="4" fillId="3" borderId="1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34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Construction production, EU, 2015-2025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(index 2021=100, calendar and seasonally adjusted data)</a:t>
            </a:r>
          </a:p>
        </c:rich>
      </c:tx>
      <c:layout>
        <c:manualLayout>
          <c:xMode val="edge"/>
          <c:yMode val="edge"/>
          <c:x val="5.3333333333333332E-3"/>
          <c:y val="8.6891836255413423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2838268806737332"/>
          <c:w val="0.97066666666666668"/>
          <c:h val="0.68163891686931455"/>
        </c:manualLayout>
      </c:layout>
      <c:lineChart>
        <c:grouping val="standard"/>
        <c:varyColors val="0"/>
        <c:ser>
          <c:idx val="0"/>
          <c:order val="0"/>
          <c:tx>
            <c:strRef>
              <c:f>'Figure 1'!$A$13</c:f>
              <c:strCache>
                <c:ptCount val="1"/>
                <c:pt idx="0">
                  <c:v>EU</c:v>
                </c:pt>
              </c:strCache>
            </c:strRef>
          </c:tx>
          <c:spPr>
            <a:ln w="19050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square"/>
            <c:size val="4"/>
            <c:spPr>
              <a:solidFill>
                <a:srgbClr val="2644A7"/>
              </a:solidFill>
              <a:ln w="19050">
                <a:solidFill>
                  <a:srgbClr val="2644A7"/>
                </a:solidFill>
                <a:prstDash val="solid"/>
              </a:ln>
            </c:spPr>
          </c:marker>
          <c:cat>
            <c:strRef>
              <c:f>'Figure 1'!$B$12:$DY$12</c:f>
              <c:strCache>
                <c:ptCount val="128"/>
                <c:pt idx="0">
                  <c:v>2015</c:v>
                </c:pt>
                <c:pt idx="1">
                  <c:v>2015M02</c:v>
                </c:pt>
                <c:pt idx="2">
                  <c:v>2015M03</c:v>
                </c:pt>
                <c:pt idx="3">
                  <c:v>2015M04</c:v>
                </c:pt>
                <c:pt idx="4">
                  <c:v>2015M05</c:v>
                </c:pt>
                <c:pt idx="5">
                  <c:v>2015M06</c:v>
                </c:pt>
                <c:pt idx="6">
                  <c:v>2015M07</c:v>
                </c:pt>
                <c:pt idx="7">
                  <c:v>2015M08</c:v>
                </c:pt>
                <c:pt idx="8">
                  <c:v>2015M09</c:v>
                </c:pt>
                <c:pt idx="9">
                  <c:v>2015M10</c:v>
                </c:pt>
                <c:pt idx="10">
                  <c:v>2015M11</c:v>
                </c:pt>
                <c:pt idx="11">
                  <c:v>2015M12</c:v>
                </c:pt>
                <c:pt idx="12">
                  <c:v>2016</c:v>
                </c:pt>
                <c:pt idx="13">
                  <c:v>2016M02</c:v>
                </c:pt>
                <c:pt idx="14">
                  <c:v>2016M03</c:v>
                </c:pt>
                <c:pt idx="15">
                  <c:v>2016M04</c:v>
                </c:pt>
                <c:pt idx="16">
                  <c:v>2016M05</c:v>
                </c:pt>
                <c:pt idx="17">
                  <c:v>2016M06</c:v>
                </c:pt>
                <c:pt idx="18">
                  <c:v>2016M07</c:v>
                </c:pt>
                <c:pt idx="19">
                  <c:v>2016M08</c:v>
                </c:pt>
                <c:pt idx="20">
                  <c:v>2016M09</c:v>
                </c:pt>
                <c:pt idx="21">
                  <c:v>2016M10</c:v>
                </c:pt>
                <c:pt idx="22">
                  <c:v>2016M11</c:v>
                </c:pt>
                <c:pt idx="23">
                  <c:v>2016M12</c:v>
                </c:pt>
                <c:pt idx="24">
                  <c:v>2017</c:v>
                </c:pt>
                <c:pt idx="25">
                  <c:v>2017M02</c:v>
                </c:pt>
                <c:pt idx="26">
                  <c:v>2017M03</c:v>
                </c:pt>
                <c:pt idx="27">
                  <c:v>2017M04</c:v>
                </c:pt>
                <c:pt idx="28">
                  <c:v>2017M05</c:v>
                </c:pt>
                <c:pt idx="29">
                  <c:v>2017M06</c:v>
                </c:pt>
                <c:pt idx="30">
                  <c:v>2017M07</c:v>
                </c:pt>
                <c:pt idx="31">
                  <c:v>2017M08</c:v>
                </c:pt>
                <c:pt idx="32">
                  <c:v>2017M09</c:v>
                </c:pt>
                <c:pt idx="33">
                  <c:v>2017M10</c:v>
                </c:pt>
                <c:pt idx="34">
                  <c:v>2017M11</c:v>
                </c:pt>
                <c:pt idx="35">
                  <c:v>2017M12</c:v>
                </c:pt>
                <c:pt idx="36">
                  <c:v>2018</c:v>
                </c:pt>
                <c:pt idx="37">
                  <c:v>2018M2</c:v>
                </c:pt>
                <c:pt idx="38">
                  <c:v>2018M3</c:v>
                </c:pt>
                <c:pt idx="39">
                  <c:v>2018M4</c:v>
                </c:pt>
                <c:pt idx="40">
                  <c:v>2018M5</c:v>
                </c:pt>
                <c:pt idx="41">
                  <c:v>2018M6</c:v>
                </c:pt>
                <c:pt idx="42">
                  <c:v>2018M7</c:v>
                </c:pt>
                <c:pt idx="43">
                  <c:v>2018M8</c:v>
                </c:pt>
                <c:pt idx="44">
                  <c:v>2018M9</c:v>
                </c:pt>
                <c:pt idx="45">
                  <c:v>2018M10</c:v>
                </c:pt>
                <c:pt idx="46">
                  <c:v>2018M11</c:v>
                </c:pt>
                <c:pt idx="47">
                  <c:v>2018M12</c:v>
                </c:pt>
                <c:pt idx="48">
                  <c:v>2019</c:v>
                </c:pt>
                <c:pt idx="49">
                  <c:v>2019M2</c:v>
                </c:pt>
                <c:pt idx="50">
                  <c:v>2019M3</c:v>
                </c:pt>
                <c:pt idx="51">
                  <c:v>2019M4</c:v>
                </c:pt>
                <c:pt idx="52">
                  <c:v>2019M5</c:v>
                </c:pt>
                <c:pt idx="53">
                  <c:v>2019M6</c:v>
                </c:pt>
                <c:pt idx="54">
                  <c:v>2019M7</c:v>
                </c:pt>
                <c:pt idx="55">
                  <c:v>2019M8</c:v>
                </c:pt>
                <c:pt idx="56">
                  <c:v>2019M9</c:v>
                </c:pt>
                <c:pt idx="57">
                  <c:v>2019M10</c:v>
                </c:pt>
                <c:pt idx="58">
                  <c:v>2019M11</c:v>
                </c:pt>
                <c:pt idx="59">
                  <c:v>2019M12</c:v>
                </c:pt>
                <c:pt idx="60">
                  <c:v>2020</c:v>
                </c:pt>
                <c:pt idx="61">
                  <c:v>2020M2</c:v>
                </c:pt>
                <c:pt idx="62">
                  <c:v>2020M3</c:v>
                </c:pt>
                <c:pt idx="63">
                  <c:v>2020M4</c:v>
                </c:pt>
                <c:pt idx="64">
                  <c:v>2020M5</c:v>
                </c:pt>
                <c:pt idx="65">
                  <c:v>2020M6</c:v>
                </c:pt>
                <c:pt idx="66">
                  <c:v>2020M7</c:v>
                </c:pt>
                <c:pt idx="67">
                  <c:v>2020M8</c:v>
                </c:pt>
                <c:pt idx="68">
                  <c:v>2020M9</c:v>
                </c:pt>
                <c:pt idx="69">
                  <c:v>2020M10</c:v>
                </c:pt>
                <c:pt idx="70">
                  <c:v>2020M11</c:v>
                </c:pt>
                <c:pt idx="71">
                  <c:v>2020M12</c:v>
                </c:pt>
                <c:pt idx="72">
                  <c:v>2021</c:v>
                </c:pt>
                <c:pt idx="73">
                  <c:v>2021M02</c:v>
                </c:pt>
                <c:pt idx="74">
                  <c:v>2021M03</c:v>
                </c:pt>
                <c:pt idx="75">
                  <c:v>2021M04</c:v>
                </c:pt>
                <c:pt idx="76">
                  <c:v>2021M05</c:v>
                </c:pt>
                <c:pt idx="77">
                  <c:v>2021M06</c:v>
                </c:pt>
                <c:pt idx="78">
                  <c:v>2021M07</c:v>
                </c:pt>
                <c:pt idx="79">
                  <c:v>2021M08</c:v>
                </c:pt>
                <c:pt idx="80">
                  <c:v>2021M09</c:v>
                </c:pt>
                <c:pt idx="81">
                  <c:v>2021M10</c:v>
                </c:pt>
                <c:pt idx="82">
                  <c:v>2021M11</c:v>
                </c:pt>
                <c:pt idx="83">
                  <c:v>2021M12</c:v>
                </c:pt>
                <c:pt idx="84">
                  <c:v>2022</c:v>
                </c:pt>
                <c:pt idx="85">
                  <c:v>2022M02</c:v>
                </c:pt>
                <c:pt idx="86">
                  <c:v>2022M03</c:v>
                </c:pt>
                <c:pt idx="87">
                  <c:v>2022M04</c:v>
                </c:pt>
                <c:pt idx="88">
                  <c:v>2022M05</c:v>
                </c:pt>
                <c:pt idx="89">
                  <c:v>2022M06</c:v>
                </c:pt>
                <c:pt idx="90">
                  <c:v>2022M07</c:v>
                </c:pt>
                <c:pt idx="91">
                  <c:v>2022M08</c:v>
                </c:pt>
                <c:pt idx="92">
                  <c:v>2022M09</c:v>
                </c:pt>
                <c:pt idx="93">
                  <c:v>2022M10</c:v>
                </c:pt>
                <c:pt idx="94">
                  <c:v>2022M11</c:v>
                </c:pt>
                <c:pt idx="95">
                  <c:v>2022M12</c:v>
                </c:pt>
                <c:pt idx="96">
                  <c:v>2023</c:v>
                </c:pt>
                <c:pt idx="97">
                  <c:v>2023M02</c:v>
                </c:pt>
                <c:pt idx="98">
                  <c:v>2023M03</c:v>
                </c:pt>
                <c:pt idx="99">
                  <c:v>2023M04</c:v>
                </c:pt>
                <c:pt idx="100">
                  <c:v>2023M05</c:v>
                </c:pt>
                <c:pt idx="101">
                  <c:v>2023M06</c:v>
                </c:pt>
                <c:pt idx="102">
                  <c:v>2023M07</c:v>
                </c:pt>
                <c:pt idx="103">
                  <c:v>2023M08</c:v>
                </c:pt>
                <c:pt idx="104">
                  <c:v>2023M09</c:v>
                </c:pt>
                <c:pt idx="105">
                  <c:v>2023M10</c:v>
                </c:pt>
                <c:pt idx="106">
                  <c:v>2023M11</c:v>
                </c:pt>
                <c:pt idx="107">
                  <c:v>2023M12</c:v>
                </c:pt>
                <c:pt idx="108">
                  <c:v>2024</c:v>
                </c:pt>
                <c:pt idx="109">
                  <c:v>2024M02</c:v>
                </c:pt>
                <c:pt idx="110">
                  <c:v>2024M03</c:v>
                </c:pt>
                <c:pt idx="111">
                  <c:v>2024M04</c:v>
                </c:pt>
                <c:pt idx="112">
                  <c:v>2024M05</c:v>
                </c:pt>
                <c:pt idx="113">
                  <c:v>2024M06</c:v>
                </c:pt>
                <c:pt idx="114">
                  <c:v>2024M07</c:v>
                </c:pt>
                <c:pt idx="115">
                  <c:v>2024M08</c:v>
                </c:pt>
                <c:pt idx="116">
                  <c:v>2024M09</c:v>
                </c:pt>
                <c:pt idx="117">
                  <c:v>2024M10</c:v>
                </c:pt>
                <c:pt idx="118">
                  <c:v>2024M11</c:v>
                </c:pt>
                <c:pt idx="119">
                  <c:v>2024M12</c:v>
                </c:pt>
                <c:pt idx="120">
                  <c:v>2025</c:v>
                </c:pt>
                <c:pt idx="121">
                  <c:v>2025M02</c:v>
                </c:pt>
                <c:pt idx="122">
                  <c:v>2025M03</c:v>
                </c:pt>
                <c:pt idx="123">
                  <c:v>2025M04</c:v>
                </c:pt>
                <c:pt idx="124">
                  <c:v>2025M05</c:v>
                </c:pt>
                <c:pt idx="125">
                  <c:v>2025M06</c:v>
                </c:pt>
                <c:pt idx="126">
                  <c:v>2025M07</c:v>
                </c:pt>
                <c:pt idx="127">
                  <c:v>2025M08</c:v>
                </c:pt>
              </c:strCache>
            </c:strRef>
          </c:cat>
          <c:val>
            <c:numRef>
              <c:f>'Figure 1'!$B$13:$DY$13</c:f>
              <c:numCache>
                <c:formatCode>#,##0.##########</c:formatCode>
                <c:ptCount val="128"/>
                <c:pt idx="0">
                  <c:v>92.2</c:v>
                </c:pt>
                <c:pt idx="1">
                  <c:v>90.6</c:v>
                </c:pt>
                <c:pt idx="2">
                  <c:v>92.8</c:v>
                </c:pt>
                <c:pt idx="3" formatCode="#,##0.0">
                  <c:v>92</c:v>
                </c:pt>
                <c:pt idx="4">
                  <c:v>92.2</c:v>
                </c:pt>
                <c:pt idx="5">
                  <c:v>92.3</c:v>
                </c:pt>
                <c:pt idx="6">
                  <c:v>91.4</c:v>
                </c:pt>
                <c:pt idx="7">
                  <c:v>91.9</c:v>
                </c:pt>
                <c:pt idx="8">
                  <c:v>92.2</c:v>
                </c:pt>
                <c:pt idx="9">
                  <c:v>92.3</c:v>
                </c:pt>
                <c:pt idx="10">
                  <c:v>93.4</c:v>
                </c:pt>
                <c:pt idx="11">
                  <c:v>93.2</c:v>
                </c:pt>
                <c:pt idx="12">
                  <c:v>93.9</c:v>
                </c:pt>
                <c:pt idx="13">
                  <c:v>92.6</c:v>
                </c:pt>
                <c:pt idx="14">
                  <c:v>92.5</c:v>
                </c:pt>
                <c:pt idx="15" formatCode="#,##0.0">
                  <c:v>93</c:v>
                </c:pt>
                <c:pt idx="16" formatCode="#,##0.0">
                  <c:v>93</c:v>
                </c:pt>
                <c:pt idx="17">
                  <c:v>93.1</c:v>
                </c:pt>
                <c:pt idx="18">
                  <c:v>93.8</c:v>
                </c:pt>
                <c:pt idx="19" formatCode="#,##0.0">
                  <c:v>95</c:v>
                </c:pt>
                <c:pt idx="20">
                  <c:v>94.4</c:v>
                </c:pt>
                <c:pt idx="21">
                  <c:v>94.5</c:v>
                </c:pt>
                <c:pt idx="22">
                  <c:v>95.4</c:v>
                </c:pt>
                <c:pt idx="23">
                  <c:v>95.6</c:v>
                </c:pt>
                <c:pt idx="24">
                  <c:v>93.6</c:v>
                </c:pt>
                <c:pt idx="25">
                  <c:v>96.5</c:v>
                </c:pt>
                <c:pt idx="26">
                  <c:v>97.7</c:v>
                </c:pt>
                <c:pt idx="27">
                  <c:v>97.9</c:v>
                </c:pt>
                <c:pt idx="28">
                  <c:v>98.5</c:v>
                </c:pt>
                <c:pt idx="29">
                  <c:v>98.2</c:v>
                </c:pt>
                <c:pt idx="30">
                  <c:v>98.4</c:v>
                </c:pt>
                <c:pt idx="31">
                  <c:v>99.1</c:v>
                </c:pt>
                <c:pt idx="32">
                  <c:v>98.3</c:v>
                </c:pt>
                <c:pt idx="33">
                  <c:v>99.7</c:v>
                </c:pt>
                <c:pt idx="34">
                  <c:v>99.8</c:v>
                </c:pt>
                <c:pt idx="35">
                  <c:v>100.8</c:v>
                </c:pt>
                <c:pt idx="36">
                  <c:v>99.1</c:v>
                </c:pt>
                <c:pt idx="37">
                  <c:v>96.9</c:v>
                </c:pt>
                <c:pt idx="38" formatCode="#,##0.0">
                  <c:v>96</c:v>
                </c:pt>
                <c:pt idx="39">
                  <c:v>98.7</c:v>
                </c:pt>
                <c:pt idx="40">
                  <c:v>98.8</c:v>
                </c:pt>
                <c:pt idx="41">
                  <c:v>100.2</c:v>
                </c:pt>
                <c:pt idx="42">
                  <c:v>100.4</c:v>
                </c:pt>
                <c:pt idx="43">
                  <c:v>100.8</c:v>
                </c:pt>
                <c:pt idx="44">
                  <c:v>101.4</c:v>
                </c:pt>
                <c:pt idx="45">
                  <c:v>100.7</c:v>
                </c:pt>
                <c:pt idx="46" formatCode="#,##0.0">
                  <c:v>101</c:v>
                </c:pt>
                <c:pt idx="47">
                  <c:v>102.6</c:v>
                </c:pt>
                <c:pt idx="48">
                  <c:v>99.6</c:v>
                </c:pt>
                <c:pt idx="49">
                  <c:v>102.8</c:v>
                </c:pt>
                <c:pt idx="50" formatCode="#,##0.0">
                  <c:v>103</c:v>
                </c:pt>
                <c:pt idx="51">
                  <c:v>102.8</c:v>
                </c:pt>
                <c:pt idx="52">
                  <c:v>101.9</c:v>
                </c:pt>
                <c:pt idx="53" formatCode="#,##0.0">
                  <c:v>102</c:v>
                </c:pt>
                <c:pt idx="54">
                  <c:v>102.4</c:v>
                </c:pt>
                <c:pt idx="55" formatCode="#,##0.0">
                  <c:v>102</c:v>
                </c:pt>
                <c:pt idx="56">
                  <c:v>102.6</c:v>
                </c:pt>
                <c:pt idx="57">
                  <c:v>101.7</c:v>
                </c:pt>
                <c:pt idx="58">
                  <c:v>101.9</c:v>
                </c:pt>
                <c:pt idx="59">
                  <c:v>101.5</c:v>
                </c:pt>
                <c:pt idx="60" formatCode="#,##0.0">
                  <c:v>104</c:v>
                </c:pt>
                <c:pt idx="61">
                  <c:v>103.2</c:v>
                </c:pt>
                <c:pt idx="62">
                  <c:v>88.9</c:v>
                </c:pt>
                <c:pt idx="63">
                  <c:v>75.599999999999994</c:v>
                </c:pt>
                <c:pt idx="64">
                  <c:v>91.5</c:v>
                </c:pt>
                <c:pt idx="65">
                  <c:v>97.1</c:v>
                </c:pt>
                <c:pt idx="66">
                  <c:v>97.8</c:v>
                </c:pt>
                <c:pt idx="67">
                  <c:v>100.5</c:v>
                </c:pt>
                <c:pt idx="68">
                  <c:v>99.1</c:v>
                </c:pt>
                <c:pt idx="69">
                  <c:v>98.7</c:v>
                </c:pt>
                <c:pt idx="70">
                  <c:v>99.9</c:v>
                </c:pt>
                <c:pt idx="71">
                  <c:v>101.3</c:v>
                </c:pt>
                <c:pt idx="72">
                  <c:v>98.4</c:v>
                </c:pt>
                <c:pt idx="73">
                  <c:v>95.9</c:v>
                </c:pt>
                <c:pt idx="74">
                  <c:v>100.2</c:v>
                </c:pt>
                <c:pt idx="75">
                  <c:v>100.3</c:v>
                </c:pt>
                <c:pt idx="76">
                  <c:v>100.3</c:v>
                </c:pt>
                <c:pt idx="77">
                  <c:v>100.7</c:v>
                </c:pt>
                <c:pt idx="78">
                  <c:v>100.3</c:v>
                </c:pt>
                <c:pt idx="79">
                  <c:v>99.5</c:v>
                </c:pt>
                <c:pt idx="80">
                  <c:v>100.9</c:v>
                </c:pt>
                <c:pt idx="81">
                  <c:v>101.3</c:v>
                </c:pt>
                <c:pt idx="82">
                  <c:v>101.6</c:v>
                </c:pt>
                <c:pt idx="83">
                  <c:v>100.6</c:v>
                </c:pt>
                <c:pt idx="84">
                  <c:v>103.2</c:v>
                </c:pt>
                <c:pt idx="85">
                  <c:v>103.7</c:v>
                </c:pt>
                <c:pt idx="86">
                  <c:v>103.9</c:v>
                </c:pt>
                <c:pt idx="87">
                  <c:v>102.7</c:v>
                </c:pt>
                <c:pt idx="88">
                  <c:v>103.2</c:v>
                </c:pt>
                <c:pt idx="89">
                  <c:v>102.6</c:v>
                </c:pt>
                <c:pt idx="90">
                  <c:v>101.6</c:v>
                </c:pt>
                <c:pt idx="91">
                  <c:v>102.3</c:v>
                </c:pt>
                <c:pt idx="92">
                  <c:v>101.9</c:v>
                </c:pt>
                <c:pt idx="93">
                  <c:v>102.8</c:v>
                </c:pt>
                <c:pt idx="94" formatCode="#,##0.0">
                  <c:v>103</c:v>
                </c:pt>
                <c:pt idx="95">
                  <c:v>100.8</c:v>
                </c:pt>
                <c:pt idx="96" formatCode="#,##0.0">
                  <c:v>104</c:v>
                </c:pt>
                <c:pt idx="97">
                  <c:v>105.4</c:v>
                </c:pt>
                <c:pt idx="98">
                  <c:v>104.3</c:v>
                </c:pt>
                <c:pt idx="99">
                  <c:v>103.6</c:v>
                </c:pt>
                <c:pt idx="100">
                  <c:v>104.5</c:v>
                </c:pt>
                <c:pt idx="101">
                  <c:v>104.2</c:v>
                </c:pt>
                <c:pt idx="102">
                  <c:v>104.5</c:v>
                </c:pt>
                <c:pt idx="103">
                  <c:v>104.1</c:v>
                </c:pt>
                <c:pt idx="104">
                  <c:v>104.5</c:v>
                </c:pt>
                <c:pt idx="105" formatCode="#,##0.0">
                  <c:v>104</c:v>
                </c:pt>
                <c:pt idx="106">
                  <c:v>103.3</c:v>
                </c:pt>
                <c:pt idx="107">
                  <c:v>104.3</c:v>
                </c:pt>
                <c:pt idx="108" formatCode="#,##0.0">
                  <c:v>103</c:v>
                </c:pt>
                <c:pt idx="109">
                  <c:v>103.2</c:v>
                </c:pt>
                <c:pt idx="110">
                  <c:v>103.1</c:v>
                </c:pt>
                <c:pt idx="111">
                  <c:v>102.4</c:v>
                </c:pt>
                <c:pt idx="112">
                  <c:v>101.7</c:v>
                </c:pt>
                <c:pt idx="113">
                  <c:v>102.2</c:v>
                </c:pt>
                <c:pt idx="114">
                  <c:v>101.9</c:v>
                </c:pt>
                <c:pt idx="115">
                  <c:v>102.6</c:v>
                </c:pt>
                <c:pt idx="116">
                  <c:v>101.9</c:v>
                </c:pt>
                <c:pt idx="117">
                  <c:v>101.8</c:v>
                </c:pt>
                <c:pt idx="118">
                  <c:v>103.1</c:v>
                </c:pt>
                <c:pt idx="119">
                  <c:v>103.6</c:v>
                </c:pt>
                <c:pt idx="120">
                  <c:v>103.9</c:v>
                </c:pt>
                <c:pt idx="121">
                  <c:v>102.8</c:v>
                </c:pt>
                <c:pt idx="122">
                  <c:v>102.7</c:v>
                </c:pt>
                <c:pt idx="123">
                  <c:v>103.4</c:v>
                </c:pt>
                <c:pt idx="124">
                  <c:v>102.2</c:v>
                </c:pt>
                <c:pt idx="125">
                  <c:v>102.5</c:v>
                </c:pt>
                <c:pt idx="126">
                  <c:v>103.4</c:v>
                </c:pt>
                <c:pt idx="127">
                  <c:v>102.5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E-441F-8573-D9D133123B51}"/>
            </c:ext>
          </c:extLst>
        </c:ser>
        <c:ser>
          <c:idx val="1"/>
          <c:order val="1"/>
          <c:tx>
            <c:strRef>
              <c:f>'Figure 1'!$A$14</c:f>
              <c:strCache>
                <c:ptCount val="1"/>
                <c:pt idx="0">
                  <c:v>Euro area</c:v>
                </c:pt>
              </c:strCache>
            </c:strRef>
          </c:tx>
          <c:spPr>
            <a:ln w="19050" cap="rnd" cmpd="sng" algn="ctr">
              <a:solidFill>
                <a:srgbClr val="B0912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diamond"/>
            <c:size val="4"/>
            <c:spPr>
              <a:solidFill>
                <a:srgbClr val="B09120"/>
              </a:solidFill>
              <a:ln w="19050">
                <a:solidFill>
                  <a:srgbClr val="B09120"/>
                </a:solidFill>
                <a:prstDash val="solid"/>
              </a:ln>
            </c:spPr>
          </c:marker>
          <c:trendline>
            <c:trendlineType val="linear"/>
            <c:dispRSqr val="0"/>
            <c:dispEq val="0"/>
          </c:trendline>
          <c:cat>
            <c:strRef>
              <c:f>'Figure 1'!$B$12:$DY$12</c:f>
              <c:strCache>
                <c:ptCount val="128"/>
                <c:pt idx="0">
                  <c:v>2015</c:v>
                </c:pt>
                <c:pt idx="1">
                  <c:v>2015M02</c:v>
                </c:pt>
                <c:pt idx="2">
                  <c:v>2015M03</c:v>
                </c:pt>
                <c:pt idx="3">
                  <c:v>2015M04</c:v>
                </c:pt>
                <c:pt idx="4">
                  <c:v>2015M05</c:v>
                </c:pt>
                <c:pt idx="5">
                  <c:v>2015M06</c:v>
                </c:pt>
                <c:pt idx="6">
                  <c:v>2015M07</c:v>
                </c:pt>
                <c:pt idx="7">
                  <c:v>2015M08</c:v>
                </c:pt>
                <c:pt idx="8">
                  <c:v>2015M09</c:v>
                </c:pt>
                <c:pt idx="9">
                  <c:v>2015M10</c:v>
                </c:pt>
                <c:pt idx="10">
                  <c:v>2015M11</c:v>
                </c:pt>
                <c:pt idx="11">
                  <c:v>2015M12</c:v>
                </c:pt>
                <c:pt idx="12">
                  <c:v>2016</c:v>
                </c:pt>
                <c:pt idx="13">
                  <c:v>2016M02</c:v>
                </c:pt>
                <c:pt idx="14">
                  <c:v>2016M03</c:v>
                </c:pt>
                <c:pt idx="15">
                  <c:v>2016M04</c:v>
                </c:pt>
                <c:pt idx="16">
                  <c:v>2016M05</c:v>
                </c:pt>
                <c:pt idx="17">
                  <c:v>2016M06</c:v>
                </c:pt>
                <c:pt idx="18">
                  <c:v>2016M07</c:v>
                </c:pt>
                <c:pt idx="19">
                  <c:v>2016M08</c:v>
                </c:pt>
                <c:pt idx="20">
                  <c:v>2016M09</c:v>
                </c:pt>
                <c:pt idx="21">
                  <c:v>2016M10</c:v>
                </c:pt>
                <c:pt idx="22">
                  <c:v>2016M11</c:v>
                </c:pt>
                <c:pt idx="23">
                  <c:v>2016M12</c:v>
                </c:pt>
                <c:pt idx="24">
                  <c:v>2017</c:v>
                </c:pt>
                <c:pt idx="25">
                  <c:v>2017M02</c:v>
                </c:pt>
                <c:pt idx="26">
                  <c:v>2017M03</c:v>
                </c:pt>
                <c:pt idx="27">
                  <c:v>2017M04</c:v>
                </c:pt>
                <c:pt idx="28">
                  <c:v>2017M05</c:v>
                </c:pt>
                <c:pt idx="29">
                  <c:v>2017M06</c:v>
                </c:pt>
                <c:pt idx="30">
                  <c:v>2017M07</c:v>
                </c:pt>
                <c:pt idx="31">
                  <c:v>2017M08</c:v>
                </c:pt>
                <c:pt idx="32">
                  <c:v>2017M09</c:v>
                </c:pt>
                <c:pt idx="33">
                  <c:v>2017M10</c:v>
                </c:pt>
                <c:pt idx="34">
                  <c:v>2017M11</c:v>
                </c:pt>
                <c:pt idx="35">
                  <c:v>2017M12</c:v>
                </c:pt>
                <c:pt idx="36">
                  <c:v>2018</c:v>
                </c:pt>
                <c:pt idx="37">
                  <c:v>2018M2</c:v>
                </c:pt>
                <c:pt idx="38">
                  <c:v>2018M3</c:v>
                </c:pt>
                <c:pt idx="39">
                  <c:v>2018M4</c:v>
                </c:pt>
                <c:pt idx="40">
                  <c:v>2018M5</c:v>
                </c:pt>
                <c:pt idx="41">
                  <c:v>2018M6</c:v>
                </c:pt>
                <c:pt idx="42">
                  <c:v>2018M7</c:v>
                </c:pt>
                <c:pt idx="43">
                  <c:v>2018M8</c:v>
                </c:pt>
                <c:pt idx="44">
                  <c:v>2018M9</c:v>
                </c:pt>
                <c:pt idx="45">
                  <c:v>2018M10</c:v>
                </c:pt>
                <c:pt idx="46">
                  <c:v>2018M11</c:v>
                </c:pt>
                <c:pt idx="47">
                  <c:v>2018M12</c:v>
                </c:pt>
                <c:pt idx="48">
                  <c:v>2019</c:v>
                </c:pt>
                <c:pt idx="49">
                  <c:v>2019M2</c:v>
                </c:pt>
                <c:pt idx="50">
                  <c:v>2019M3</c:v>
                </c:pt>
                <c:pt idx="51">
                  <c:v>2019M4</c:v>
                </c:pt>
                <c:pt idx="52">
                  <c:v>2019M5</c:v>
                </c:pt>
                <c:pt idx="53">
                  <c:v>2019M6</c:v>
                </c:pt>
                <c:pt idx="54">
                  <c:v>2019M7</c:v>
                </c:pt>
                <c:pt idx="55">
                  <c:v>2019M8</c:v>
                </c:pt>
                <c:pt idx="56">
                  <c:v>2019M9</c:v>
                </c:pt>
                <c:pt idx="57">
                  <c:v>2019M10</c:v>
                </c:pt>
                <c:pt idx="58">
                  <c:v>2019M11</c:v>
                </c:pt>
                <c:pt idx="59">
                  <c:v>2019M12</c:v>
                </c:pt>
                <c:pt idx="60">
                  <c:v>2020</c:v>
                </c:pt>
                <c:pt idx="61">
                  <c:v>2020M2</c:v>
                </c:pt>
                <c:pt idx="62">
                  <c:v>2020M3</c:v>
                </c:pt>
                <c:pt idx="63">
                  <c:v>2020M4</c:v>
                </c:pt>
                <c:pt idx="64">
                  <c:v>2020M5</c:v>
                </c:pt>
                <c:pt idx="65">
                  <c:v>2020M6</c:v>
                </c:pt>
                <c:pt idx="66">
                  <c:v>2020M7</c:v>
                </c:pt>
                <c:pt idx="67">
                  <c:v>2020M8</c:v>
                </c:pt>
                <c:pt idx="68">
                  <c:v>2020M9</c:v>
                </c:pt>
                <c:pt idx="69">
                  <c:v>2020M10</c:v>
                </c:pt>
                <c:pt idx="70">
                  <c:v>2020M11</c:v>
                </c:pt>
                <c:pt idx="71">
                  <c:v>2020M12</c:v>
                </c:pt>
                <c:pt idx="72">
                  <c:v>2021</c:v>
                </c:pt>
                <c:pt idx="73">
                  <c:v>2021M02</c:v>
                </c:pt>
                <c:pt idx="74">
                  <c:v>2021M03</c:v>
                </c:pt>
                <c:pt idx="75">
                  <c:v>2021M04</c:v>
                </c:pt>
                <c:pt idx="76">
                  <c:v>2021M05</c:v>
                </c:pt>
                <c:pt idx="77">
                  <c:v>2021M06</c:v>
                </c:pt>
                <c:pt idx="78">
                  <c:v>2021M07</c:v>
                </c:pt>
                <c:pt idx="79">
                  <c:v>2021M08</c:v>
                </c:pt>
                <c:pt idx="80">
                  <c:v>2021M09</c:v>
                </c:pt>
                <c:pt idx="81">
                  <c:v>2021M10</c:v>
                </c:pt>
                <c:pt idx="82">
                  <c:v>2021M11</c:v>
                </c:pt>
                <c:pt idx="83">
                  <c:v>2021M12</c:v>
                </c:pt>
                <c:pt idx="84">
                  <c:v>2022</c:v>
                </c:pt>
                <c:pt idx="85">
                  <c:v>2022M02</c:v>
                </c:pt>
                <c:pt idx="86">
                  <c:v>2022M03</c:v>
                </c:pt>
                <c:pt idx="87">
                  <c:v>2022M04</c:v>
                </c:pt>
                <c:pt idx="88">
                  <c:v>2022M05</c:v>
                </c:pt>
                <c:pt idx="89">
                  <c:v>2022M06</c:v>
                </c:pt>
                <c:pt idx="90">
                  <c:v>2022M07</c:v>
                </c:pt>
                <c:pt idx="91">
                  <c:v>2022M08</c:v>
                </c:pt>
                <c:pt idx="92">
                  <c:v>2022M09</c:v>
                </c:pt>
                <c:pt idx="93">
                  <c:v>2022M10</c:v>
                </c:pt>
                <c:pt idx="94">
                  <c:v>2022M11</c:v>
                </c:pt>
                <c:pt idx="95">
                  <c:v>2022M12</c:v>
                </c:pt>
                <c:pt idx="96">
                  <c:v>2023</c:v>
                </c:pt>
                <c:pt idx="97">
                  <c:v>2023M02</c:v>
                </c:pt>
                <c:pt idx="98">
                  <c:v>2023M03</c:v>
                </c:pt>
                <c:pt idx="99">
                  <c:v>2023M04</c:v>
                </c:pt>
                <c:pt idx="100">
                  <c:v>2023M05</c:v>
                </c:pt>
                <c:pt idx="101">
                  <c:v>2023M06</c:v>
                </c:pt>
                <c:pt idx="102">
                  <c:v>2023M07</c:v>
                </c:pt>
                <c:pt idx="103">
                  <c:v>2023M08</c:v>
                </c:pt>
                <c:pt idx="104">
                  <c:v>2023M09</c:v>
                </c:pt>
                <c:pt idx="105">
                  <c:v>2023M10</c:v>
                </c:pt>
                <c:pt idx="106">
                  <c:v>2023M11</c:v>
                </c:pt>
                <c:pt idx="107">
                  <c:v>2023M12</c:v>
                </c:pt>
                <c:pt idx="108">
                  <c:v>2024</c:v>
                </c:pt>
                <c:pt idx="109">
                  <c:v>2024M02</c:v>
                </c:pt>
                <c:pt idx="110">
                  <c:v>2024M03</c:v>
                </c:pt>
                <c:pt idx="111">
                  <c:v>2024M04</c:v>
                </c:pt>
                <c:pt idx="112">
                  <c:v>2024M05</c:v>
                </c:pt>
                <c:pt idx="113">
                  <c:v>2024M06</c:v>
                </c:pt>
                <c:pt idx="114">
                  <c:v>2024M07</c:v>
                </c:pt>
                <c:pt idx="115">
                  <c:v>2024M08</c:v>
                </c:pt>
                <c:pt idx="116">
                  <c:v>2024M09</c:v>
                </c:pt>
                <c:pt idx="117">
                  <c:v>2024M10</c:v>
                </c:pt>
                <c:pt idx="118">
                  <c:v>2024M11</c:v>
                </c:pt>
                <c:pt idx="119">
                  <c:v>2024M12</c:v>
                </c:pt>
                <c:pt idx="120">
                  <c:v>2025</c:v>
                </c:pt>
                <c:pt idx="121">
                  <c:v>2025M02</c:v>
                </c:pt>
                <c:pt idx="122">
                  <c:v>2025M03</c:v>
                </c:pt>
                <c:pt idx="123">
                  <c:v>2025M04</c:v>
                </c:pt>
                <c:pt idx="124">
                  <c:v>2025M05</c:v>
                </c:pt>
                <c:pt idx="125">
                  <c:v>2025M06</c:v>
                </c:pt>
                <c:pt idx="126">
                  <c:v>2025M07</c:v>
                </c:pt>
                <c:pt idx="127">
                  <c:v>2025M08</c:v>
                </c:pt>
              </c:strCache>
            </c:strRef>
          </c:cat>
          <c:val>
            <c:numRef>
              <c:f>'Figure 1'!$B$14:$DY$14</c:f>
              <c:numCache>
                <c:formatCode>#,##0.##########</c:formatCode>
                <c:ptCount val="128"/>
                <c:pt idx="0">
                  <c:v>94.7</c:v>
                </c:pt>
                <c:pt idx="1">
                  <c:v>92.4</c:v>
                </c:pt>
                <c:pt idx="2">
                  <c:v>94.9</c:v>
                </c:pt>
                <c:pt idx="3" formatCode="#,##0.0">
                  <c:v>94</c:v>
                </c:pt>
                <c:pt idx="4">
                  <c:v>94.4</c:v>
                </c:pt>
                <c:pt idx="5">
                  <c:v>94.4</c:v>
                </c:pt>
                <c:pt idx="6">
                  <c:v>93.7</c:v>
                </c:pt>
                <c:pt idx="7">
                  <c:v>93.8</c:v>
                </c:pt>
                <c:pt idx="8">
                  <c:v>94.1</c:v>
                </c:pt>
                <c:pt idx="9">
                  <c:v>94.2</c:v>
                </c:pt>
                <c:pt idx="10">
                  <c:v>95.3</c:v>
                </c:pt>
                <c:pt idx="11">
                  <c:v>95.1</c:v>
                </c:pt>
                <c:pt idx="12" formatCode="#,##0.0">
                  <c:v>97</c:v>
                </c:pt>
                <c:pt idx="13">
                  <c:v>95.4</c:v>
                </c:pt>
                <c:pt idx="14">
                  <c:v>95.5</c:v>
                </c:pt>
                <c:pt idx="15">
                  <c:v>95.9</c:v>
                </c:pt>
                <c:pt idx="16">
                  <c:v>95.8</c:v>
                </c:pt>
                <c:pt idx="17">
                  <c:v>96.2</c:v>
                </c:pt>
                <c:pt idx="18">
                  <c:v>96.8</c:v>
                </c:pt>
                <c:pt idx="19">
                  <c:v>98.6</c:v>
                </c:pt>
                <c:pt idx="20">
                  <c:v>97.4</c:v>
                </c:pt>
                <c:pt idx="21">
                  <c:v>97.3</c:v>
                </c:pt>
                <c:pt idx="22">
                  <c:v>98.4</c:v>
                </c:pt>
                <c:pt idx="23">
                  <c:v>98.6</c:v>
                </c:pt>
                <c:pt idx="24">
                  <c:v>96.2</c:v>
                </c:pt>
                <c:pt idx="25">
                  <c:v>99.8</c:v>
                </c:pt>
                <c:pt idx="26">
                  <c:v>100.6</c:v>
                </c:pt>
                <c:pt idx="27">
                  <c:v>100.6</c:v>
                </c:pt>
                <c:pt idx="28">
                  <c:v>101.3</c:v>
                </c:pt>
                <c:pt idx="29">
                  <c:v>100.8</c:v>
                </c:pt>
                <c:pt idx="30">
                  <c:v>100.7</c:v>
                </c:pt>
                <c:pt idx="31">
                  <c:v>101.5</c:v>
                </c:pt>
                <c:pt idx="32">
                  <c:v>100.6</c:v>
                </c:pt>
                <c:pt idx="33">
                  <c:v>102.1</c:v>
                </c:pt>
                <c:pt idx="34">
                  <c:v>101.9</c:v>
                </c:pt>
                <c:pt idx="35">
                  <c:v>102.7</c:v>
                </c:pt>
                <c:pt idx="36">
                  <c:v>100.5</c:v>
                </c:pt>
                <c:pt idx="37">
                  <c:v>98.2</c:v>
                </c:pt>
                <c:pt idx="38">
                  <c:v>97.6</c:v>
                </c:pt>
                <c:pt idx="39">
                  <c:v>100.8</c:v>
                </c:pt>
                <c:pt idx="40">
                  <c:v>100.2</c:v>
                </c:pt>
                <c:pt idx="41">
                  <c:v>101.3</c:v>
                </c:pt>
                <c:pt idx="42">
                  <c:v>101.7</c:v>
                </c:pt>
                <c:pt idx="43">
                  <c:v>101.9</c:v>
                </c:pt>
                <c:pt idx="44">
                  <c:v>102.6</c:v>
                </c:pt>
                <c:pt idx="45">
                  <c:v>101.8</c:v>
                </c:pt>
                <c:pt idx="46" formatCode="#,##0.0">
                  <c:v>102</c:v>
                </c:pt>
                <c:pt idx="47">
                  <c:v>103.8</c:v>
                </c:pt>
                <c:pt idx="48">
                  <c:v>100.5</c:v>
                </c:pt>
                <c:pt idx="49">
                  <c:v>103.6</c:v>
                </c:pt>
                <c:pt idx="50">
                  <c:v>103.8</c:v>
                </c:pt>
                <c:pt idx="51">
                  <c:v>103.5</c:v>
                </c:pt>
                <c:pt idx="52">
                  <c:v>102.7</c:v>
                </c:pt>
                <c:pt idx="53" formatCode="#,##0.0">
                  <c:v>103</c:v>
                </c:pt>
                <c:pt idx="54">
                  <c:v>102.8</c:v>
                </c:pt>
                <c:pt idx="55">
                  <c:v>102.5</c:v>
                </c:pt>
                <c:pt idx="56">
                  <c:v>103.2</c:v>
                </c:pt>
                <c:pt idx="57">
                  <c:v>102.4</c:v>
                </c:pt>
                <c:pt idx="58">
                  <c:v>102.6</c:v>
                </c:pt>
                <c:pt idx="59">
                  <c:v>102.3</c:v>
                </c:pt>
                <c:pt idx="60">
                  <c:v>104.7</c:v>
                </c:pt>
                <c:pt idx="61">
                  <c:v>103.3</c:v>
                </c:pt>
                <c:pt idx="62">
                  <c:v>86.8</c:v>
                </c:pt>
                <c:pt idx="63">
                  <c:v>71.099999999999994</c:v>
                </c:pt>
                <c:pt idx="64">
                  <c:v>90.4</c:v>
                </c:pt>
                <c:pt idx="65">
                  <c:v>97.4</c:v>
                </c:pt>
                <c:pt idx="66">
                  <c:v>98.4</c:v>
                </c:pt>
                <c:pt idx="67">
                  <c:v>101.2</c:v>
                </c:pt>
                <c:pt idx="68">
                  <c:v>99.3</c:v>
                </c:pt>
                <c:pt idx="69">
                  <c:v>99.1</c:v>
                </c:pt>
                <c:pt idx="70">
                  <c:v>100.5</c:v>
                </c:pt>
                <c:pt idx="71">
                  <c:v>102.2</c:v>
                </c:pt>
                <c:pt idx="72">
                  <c:v>98.5</c:v>
                </c:pt>
                <c:pt idx="73">
                  <c:v>96.1</c:v>
                </c:pt>
                <c:pt idx="74">
                  <c:v>100.9</c:v>
                </c:pt>
                <c:pt idx="75">
                  <c:v>100.3</c:v>
                </c:pt>
                <c:pt idx="76">
                  <c:v>100.3</c:v>
                </c:pt>
                <c:pt idx="77">
                  <c:v>100.4</c:v>
                </c:pt>
                <c:pt idx="78">
                  <c:v>99.9</c:v>
                </c:pt>
                <c:pt idx="79">
                  <c:v>99.6</c:v>
                </c:pt>
                <c:pt idx="80" formatCode="#,##0.0">
                  <c:v>101</c:v>
                </c:pt>
                <c:pt idx="81">
                  <c:v>101.3</c:v>
                </c:pt>
                <c:pt idx="82">
                  <c:v>101.3</c:v>
                </c:pt>
                <c:pt idx="83">
                  <c:v>100.3</c:v>
                </c:pt>
                <c:pt idx="84">
                  <c:v>102.6</c:v>
                </c:pt>
                <c:pt idx="85">
                  <c:v>103.3</c:v>
                </c:pt>
                <c:pt idx="86">
                  <c:v>103.2</c:v>
                </c:pt>
                <c:pt idx="87">
                  <c:v>102.2</c:v>
                </c:pt>
                <c:pt idx="88">
                  <c:v>102.5</c:v>
                </c:pt>
                <c:pt idx="89">
                  <c:v>102.2</c:v>
                </c:pt>
                <c:pt idx="90">
                  <c:v>101.1</c:v>
                </c:pt>
                <c:pt idx="91">
                  <c:v>102.1</c:v>
                </c:pt>
                <c:pt idx="92">
                  <c:v>101.6</c:v>
                </c:pt>
                <c:pt idx="93">
                  <c:v>102.3</c:v>
                </c:pt>
                <c:pt idx="94">
                  <c:v>102.4</c:v>
                </c:pt>
                <c:pt idx="95">
                  <c:v>100.2</c:v>
                </c:pt>
                <c:pt idx="96">
                  <c:v>103.4</c:v>
                </c:pt>
                <c:pt idx="97">
                  <c:v>105.3</c:v>
                </c:pt>
                <c:pt idx="98">
                  <c:v>103.9</c:v>
                </c:pt>
                <c:pt idx="99">
                  <c:v>103.6</c:v>
                </c:pt>
                <c:pt idx="100">
                  <c:v>104.6</c:v>
                </c:pt>
                <c:pt idx="101">
                  <c:v>104.2</c:v>
                </c:pt>
                <c:pt idx="102">
                  <c:v>104.5</c:v>
                </c:pt>
                <c:pt idx="103" formatCode="#,##0.0">
                  <c:v>104</c:v>
                </c:pt>
                <c:pt idx="104">
                  <c:v>104.3</c:v>
                </c:pt>
                <c:pt idx="105">
                  <c:v>103.7</c:v>
                </c:pt>
                <c:pt idx="106">
                  <c:v>103.1</c:v>
                </c:pt>
                <c:pt idx="107">
                  <c:v>103.3</c:v>
                </c:pt>
                <c:pt idx="108">
                  <c:v>103.6</c:v>
                </c:pt>
                <c:pt idx="109">
                  <c:v>103.5</c:v>
                </c:pt>
                <c:pt idx="110">
                  <c:v>103.6</c:v>
                </c:pt>
                <c:pt idx="111">
                  <c:v>102.4</c:v>
                </c:pt>
                <c:pt idx="112" formatCode="#,##0.0">
                  <c:v>102</c:v>
                </c:pt>
                <c:pt idx="113">
                  <c:v>102.5</c:v>
                </c:pt>
                <c:pt idx="114" formatCode="#,##0.0">
                  <c:v>102</c:v>
                </c:pt>
                <c:pt idx="115">
                  <c:v>102.6</c:v>
                </c:pt>
                <c:pt idx="116">
                  <c:v>102.1</c:v>
                </c:pt>
                <c:pt idx="117">
                  <c:v>102.1</c:v>
                </c:pt>
                <c:pt idx="118">
                  <c:v>103.3</c:v>
                </c:pt>
                <c:pt idx="119">
                  <c:v>103.4</c:v>
                </c:pt>
                <c:pt idx="120" formatCode="#,##0.0">
                  <c:v>104</c:v>
                </c:pt>
                <c:pt idx="121">
                  <c:v>102.9</c:v>
                </c:pt>
                <c:pt idx="122">
                  <c:v>102.7</c:v>
                </c:pt>
                <c:pt idx="123">
                  <c:v>103.6</c:v>
                </c:pt>
                <c:pt idx="124">
                  <c:v>102.2</c:v>
                </c:pt>
                <c:pt idx="125">
                  <c:v>102.3</c:v>
                </c:pt>
                <c:pt idx="126">
                  <c:v>102.8</c:v>
                </c:pt>
                <c:pt idx="127">
                  <c:v>102.7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E-441F-8573-D9D133123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96432"/>
        <c:axId val="66897216"/>
      </c:lineChart>
      <c:catAx>
        <c:axId val="66896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66897216"/>
        <c:crosses val="autoZero"/>
        <c:auto val="1"/>
        <c:lblAlgn val="ctr"/>
        <c:lblOffset val="100"/>
        <c:tickLblSkip val="12"/>
        <c:tickMarkSkip val="1"/>
        <c:noMultiLvlLbl val="0"/>
      </c:catAx>
      <c:valAx>
        <c:axId val="66897216"/>
        <c:scaling>
          <c:orientation val="minMax"/>
          <c:max val="110"/>
          <c:min val="7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66896432"/>
        <c:crosses val="autoZero"/>
        <c:crossBetween val="between"/>
        <c:majorUnit val="10"/>
      </c:valAx>
    </c:plotArea>
    <c:legend>
      <c:legendPos val="b"/>
      <c:layout>
        <c:manualLayout>
          <c:xMode val="edge"/>
          <c:yMode val="edge"/>
          <c:x val="0.40397175853018369"/>
          <c:y val="0.83391685990692632"/>
          <c:w val="0.39478509186351707"/>
          <c:h val="4.1872970635177614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Construction production per type of construction, EU, 2015-2025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(index 2021=100, calendar and seasonally adjusted data)</a:t>
            </a:r>
          </a:p>
        </c:rich>
      </c:tx>
      <c:layout>
        <c:manualLayout>
          <c:xMode val="edge"/>
          <c:yMode val="edge"/>
          <c:x val="5.3333333333333332E-3"/>
          <c:y val="8.5988277834219348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2704768050005907"/>
          <c:w val="0.97066666666666668"/>
          <c:h val="0.68494944464775442"/>
        </c:manualLayout>
      </c:layout>
      <c:lineChart>
        <c:grouping val="standard"/>
        <c:varyColors val="0"/>
        <c:ser>
          <c:idx val="1"/>
          <c:order val="0"/>
          <c:tx>
            <c:strRef>
              <c:f>'Figure 2'!$A$13</c:f>
              <c:strCache>
                <c:ptCount val="1"/>
                <c:pt idx="0">
                  <c:v>Buildings</c:v>
                </c:pt>
              </c:strCache>
            </c:strRef>
          </c:tx>
          <c:spPr>
            <a:ln w="19050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square"/>
            <c:size val="4"/>
            <c:spPr>
              <a:solidFill>
                <a:srgbClr val="2644A7"/>
              </a:solidFill>
              <a:ln w="19050">
                <a:solidFill>
                  <a:srgbClr val="2644A7"/>
                </a:solidFill>
                <a:prstDash val="solid"/>
              </a:ln>
            </c:spPr>
          </c:marker>
          <c:cat>
            <c:strRef>
              <c:f>'Figure 2'!$B$12:$DY$12</c:f>
              <c:strCache>
                <c:ptCount val="128"/>
                <c:pt idx="0">
                  <c:v>2015</c:v>
                </c:pt>
                <c:pt idx="1">
                  <c:v>2015M02</c:v>
                </c:pt>
                <c:pt idx="2">
                  <c:v>2015M03</c:v>
                </c:pt>
                <c:pt idx="3">
                  <c:v>2015M04</c:v>
                </c:pt>
                <c:pt idx="4">
                  <c:v>2015M05</c:v>
                </c:pt>
                <c:pt idx="5">
                  <c:v>2015M06</c:v>
                </c:pt>
                <c:pt idx="6">
                  <c:v>2015M07</c:v>
                </c:pt>
                <c:pt idx="7">
                  <c:v>2015M08</c:v>
                </c:pt>
                <c:pt idx="8">
                  <c:v>2015M09</c:v>
                </c:pt>
                <c:pt idx="9">
                  <c:v>2015M10</c:v>
                </c:pt>
                <c:pt idx="10">
                  <c:v>2015M11</c:v>
                </c:pt>
                <c:pt idx="11">
                  <c:v>2015M12</c:v>
                </c:pt>
                <c:pt idx="12">
                  <c:v>2016</c:v>
                </c:pt>
                <c:pt idx="13">
                  <c:v>2016M02</c:v>
                </c:pt>
                <c:pt idx="14">
                  <c:v>2016M03</c:v>
                </c:pt>
                <c:pt idx="15">
                  <c:v>2016M04</c:v>
                </c:pt>
                <c:pt idx="16">
                  <c:v>2016M05</c:v>
                </c:pt>
                <c:pt idx="17">
                  <c:v>2016M06</c:v>
                </c:pt>
                <c:pt idx="18">
                  <c:v>2016M07</c:v>
                </c:pt>
                <c:pt idx="19">
                  <c:v>2016M08</c:v>
                </c:pt>
                <c:pt idx="20">
                  <c:v>2016M09</c:v>
                </c:pt>
                <c:pt idx="21">
                  <c:v>2016M10</c:v>
                </c:pt>
                <c:pt idx="22">
                  <c:v>2016M11</c:v>
                </c:pt>
                <c:pt idx="23">
                  <c:v>2016M12</c:v>
                </c:pt>
                <c:pt idx="24">
                  <c:v>2017</c:v>
                </c:pt>
                <c:pt idx="25">
                  <c:v>2017M02</c:v>
                </c:pt>
                <c:pt idx="26">
                  <c:v>2017M03</c:v>
                </c:pt>
                <c:pt idx="27">
                  <c:v>2017M04</c:v>
                </c:pt>
                <c:pt idx="28">
                  <c:v>2017M05</c:v>
                </c:pt>
                <c:pt idx="29">
                  <c:v>2017M06</c:v>
                </c:pt>
                <c:pt idx="30">
                  <c:v>2017M07</c:v>
                </c:pt>
                <c:pt idx="31">
                  <c:v>2017M08</c:v>
                </c:pt>
                <c:pt idx="32">
                  <c:v>2017M09</c:v>
                </c:pt>
                <c:pt idx="33">
                  <c:v>2017M10</c:v>
                </c:pt>
                <c:pt idx="34">
                  <c:v>2017M11</c:v>
                </c:pt>
                <c:pt idx="35">
                  <c:v>2017M12</c:v>
                </c:pt>
                <c:pt idx="36">
                  <c:v>2018</c:v>
                </c:pt>
                <c:pt idx="37">
                  <c:v>2018M2</c:v>
                </c:pt>
                <c:pt idx="38">
                  <c:v>2018M3</c:v>
                </c:pt>
                <c:pt idx="39">
                  <c:v>2018M4</c:v>
                </c:pt>
                <c:pt idx="40">
                  <c:v>2018M5</c:v>
                </c:pt>
                <c:pt idx="41">
                  <c:v>2018M6</c:v>
                </c:pt>
                <c:pt idx="42">
                  <c:v>2018M7</c:v>
                </c:pt>
                <c:pt idx="43">
                  <c:v>2018M8</c:v>
                </c:pt>
                <c:pt idx="44">
                  <c:v>2018M9</c:v>
                </c:pt>
                <c:pt idx="45">
                  <c:v>2018M10</c:v>
                </c:pt>
                <c:pt idx="46">
                  <c:v>2018M11</c:v>
                </c:pt>
                <c:pt idx="47">
                  <c:v>2018M12</c:v>
                </c:pt>
                <c:pt idx="48">
                  <c:v>2019</c:v>
                </c:pt>
                <c:pt idx="49">
                  <c:v>2019M2</c:v>
                </c:pt>
                <c:pt idx="50">
                  <c:v>2019M3</c:v>
                </c:pt>
                <c:pt idx="51">
                  <c:v>2019M4</c:v>
                </c:pt>
                <c:pt idx="52">
                  <c:v>2019M5</c:v>
                </c:pt>
                <c:pt idx="53">
                  <c:v>2019M6</c:v>
                </c:pt>
                <c:pt idx="54">
                  <c:v>2019M7</c:v>
                </c:pt>
                <c:pt idx="55">
                  <c:v>2019M8</c:v>
                </c:pt>
                <c:pt idx="56">
                  <c:v>2019M9</c:v>
                </c:pt>
                <c:pt idx="57">
                  <c:v>2019M10</c:v>
                </c:pt>
                <c:pt idx="58">
                  <c:v>2019M11</c:v>
                </c:pt>
                <c:pt idx="59">
                  <c:v>2019M12</c:v>
                </c:pt>
                <c:pt idx="60">
                  <c:v>2020</c:v>
                </c:pt>
                <c:pt idx="61">
                  <c:v>2020M2</c:v>
                </c:pt>
                <c:pt idx="62">
                  <c:v>2020M3</c:v>
                </c:pt>
                <c:pt idx="63">
                  <c:v>2020M4</c:v>
                </c:pt>
                <c:pt idx="64">
                  <c:v>2020M5</c:v>
                </c:pt>
                <c:pt idx="65">
                  <c:v>2020M6</c:v>
                </c:pt>
                <c:pt idx="66">
                  <c:v>2020M7</c:v>
                </c:pt>
                <c:pt idx="67">
                  <c:v>2020M8</c:v>
                </c:pt>
                <c:pt idx="68">
                  <c:v>2020M9</c:v>
                </c:pt>
                <c:pt idx="69">
                  <c:v>2020M10</c:v>
                </c:pt>
                <c:pt idx="70">
                  <c:v>2020M11</c:v>
                </c:pt>
                <c:pt idx="71">
                  <c:v>2020M12</c:v>
                </c:pt>
                <c:pt idx="72">
                  <c:v>2021</c:v>
                </c:pt>
                <c:pt idx="73">
                  <c:v>2021M02</c:v>
                </c:pt>
                <c:pt idx="74">
                  <c:v>2021M03</c:v>
                </c:pt>
                <c:pt idx="75">
                  <c:v>2021M04</c:v>
                </c:pt>
                <c:pt idx="76">
                  <c:v>2021M05</c:v>
                </c:pt>
                <c:pt idx="77">
                  <c:v>2021M06</c:v>
                </c:pt>
                <c:pt idx="78">
                  <c:v>2021M07</c:v>
                </c:pt>
                <c:pt idx="79">
                  <c:v>2021M08</c:v>
                </c:pt>
                <c:pt idx="80">
                  <c:v>2021M09</c:v>
                </c:pt>
                <c:pt idx="81">
                  <c:v>2021M10</c:v>
                </c:pt>
                <c:pt idx="82">
                  <c:v>2021M11</c:v>
                </c:pt>
                <c:pt idx="83">
                  <c:v>2021M12</c:v>
                </c:pt>
                <c:pt idx="84">
                  <c:v>2022</c:v>
                </c:pt>
                <c:pt idx="85">
                  <c:v>2022M02</c:v>
                </c:pt>
                <c:pt idx="86">
                  <c:v>2022M03</c:v>
                </c:pt>
                <c:pt idx="87">
                  <c:v>2022M04</c:v>
                </c:pt>
                <c:pt idx="88">
                  <c:v>2022M05</c:v>
                </c:pt>
                <c:pt idx="89">
                  <c:v>2022M06</c:v>
                </c:pt>
                <c:pt idx="90">
                  <c:v>2022M07</c:v>
                </c:pt>
                <c:pt idx="91">
                  <c:v>2022M08</c:v>
                </c:pt>
                <c:pt idx="92">
                  <c:v>2022M09</c:v>
                </c:pt>
                <c:pt idx="93">
                  <c:v>2022M10</c:v>
                </c:pt>
                <c:pt idx="94">
                  <c:v>2022M11</c:v>
                </c:pt>
                <c:pt idx="95">
                  <c:v>2022M12</c:v>
                </c:pt>
                <c:pt idx="96">
                  <c:v>2023</c:v>
                </c:pt>
                <c:pt idx="97">
                  <c:v>2023M02</c:v>
                </c:pt>
                <c:pt idx="98">
                  <c:v>2023M03</c:v>
                </c:pt>
                <c:pt idx="99">
                  <c:v>2023M04</c:v>
                </c:pt>
                <c:pt idx="100">
                  <c:v>2023M05</c:v>
                </c:pt>
                <c:pt idx="101">
                  <c:v>2023M06</c:v>
                </c:pt>
                <c:pt idx="102">
                  <c:v>2023M07</c:v>
                </c:pt>
                <c:pt idx="103">
                  <c:v>2023M08</c:v>
                </c:pt>
                <c:pt idx="104">
                  <c:v>2023M09</c:v>
                </c:pt>
                <c:pt idx="105">
                  <c:v>2023M10</c:v>
                </c:pt>
                <c:pt idx="106">
                  <c:v>2023M11</c:v>
                </c:pt>
                <c:pt idx="107">
                  <c:v>2023M12</c:v>
                </c:pt>
                <c:pt idx="108">
                  <c:v>2024</c:v>
                </c:pt>
                <c:pt idx="109">
                  <c:v>2024M02</c:v>
                </c:pt>
                <c:pt idx="110">
                  <c:v>2024M03</c:v>
                </c:pt>
                <c:pt idx="111">
                  <c:v>2024M04</c:v>
                </c:pt>
                <c:pt idx="112">
                  <c:v>2024M05</c:v>
                </c:pt>
                <c:pt idx="113">
                  <c:v>2024M06</c:v>
                </c:pt>
                <c:pt idx="114">
                  <c:v>2024M07</c:v>
                </c:pt>
                <c:pt idx="115">
                  <c:v>2024M08</c:v>
                </c:pt>
                <c:pt idx="116">
                  <c:v>2024M09</c:v>
                </c:pt>
                <c:pt idx="117">
                  <c:v>2024M10</c:v>
                </c:pt>
                <c:pt idx="118">
                  <c:v>2024M11</c:v>
                </c:pt>
                <c:pt idx="119">
                  <c:v>2024M12</c:v>
                </c:pt>
                <c:pt idx="120">
                  <c:v>2025</c:v>
                </c:pt>
                <c:pt idx="121">
                  <c:v>2025M02</c:v>
                </c:pt>
                <c:pt idx="122">
                  <c:v>2025M03</c:v>
                </c:pt>
                <c:pt idx="123">
                  <c:v>2025M04</c:v>
                </c:pt>
                <c:pt idx="124">
                  <c:v>2025M05</c:v>
                </c:pt>
                <c:pt idx="125">
                  <c:v>2025M06</c:v>
                </c:pt>
                <c:pt idx="126">
                  <c:v>2025M07</c:v>
                </c:pt>
                <c:pt idx="127">
                  <c:v>2025M08</c:v>
                </c:pt>
              </c:strCache>
            </c:strRef>
          </c:cat>
          <c:val>
            <c:numRef>
              <c:f>'Figure 2'!$B$13:$DY$13</c:f>
              <c:numCache>
                <c:formatCode>#,##0.##########</c:formatCode>
                <c:ptCount val="128"/>
                <c:pt idx="0">
                  <c:v>92.1</c:v>
                </c:pt>
                <c:pt idx="1">
                  <c:v>89.8</c:v>
                </c:pt>
                <c:pt idx="2">
                  <c:v>92.3</c:v>
                </c:pt>
                <c:pt idx="3">
                  <c:v>91.3</c:v>
                </c:pt>
                <c:pt idx="4">
                  <c:v>91.6</c:v>
                </c:pt>
                <c:pt idx="5">
                  <c:v>92.1</c:v>
                </c:pt>
                <c:pt idx="6">
                  <c:v>92.7</c:v>
                </c:pt>
                <c:pt idx="7">
                  <c:v>93.1</c:v>
                </c:pt>
                <c:pt idx="8">
                  <c:v>92.2</c:v>
                </c:pt>
                <c:pt idx="9">
                  <c:v>94.4</c:v>
                </c:pt>
                <c:pt idx="10">
                  <c:v>93.6</c:v>
                </c:pt>
                <c:pt idx="11">
                  <c:v>94.2</c:v>
                </c:pt>
                <c:pt idx="12">
                  <c:v>92.8</c:v>
                </c:pt>
                <c:pt idx="13">
                  <c:v>93.7</c:v>
                </c:pt>
                <c:pt idx="14">
                  <c:v>92.6</c:v>
                </c:pt>
                <c:pt idx="15">
                  <c:v>94.5</c:v>
                </c:pt>
                <c:pt idx="16" formatCode="#,##0.0">
                  <c:v>93</c:v>
                </c:pt>
                <c:pt idx="17">
                  <c:v>94.2</c:v>
                </c:pt>
                <c:pt idx="18">
                  <c:v>94.6</c:v>
                </c:pt>
                <c:pt idx="19">
                  <c:v>95.3</c:v>
                </c:pt>
                <c:pt idx="20" formatCode="#,##0.0">
                  <c:v>95</c:v>
                </c:pt>
                <c:pt idx="21" formatCode="#,##0.0">
                  <c:v>95</c:v>
                </c:pt>
                <c:pt idx="22">
                  <c:v>96.1</c:v>
                </c:pt>
                <c:pt idx="23">
                  <c:v>96.9</c:v>
                </c:pt>
                <c:pt idx="24">
                  <c:v>93.9</c:v>
                </c:pt>
                <c:pt idx="25">
                  <c:v>98.2</c:v>
                </c:pt>
                <c:pt idx="26">
                  <c:v>99.5</c:v>
                </c:pt>
                <c:pt idx="27">
                  <c:v>98.9</c:v>
                </c:pt>
                <c:pt idx="28">
                  <c:v>100.9</c:v>
                </c:pt>
                <c:pt idx="29">
                  <c:v>99.5</c:v>
                </c:pt>
                <c:pt idx="30">
                  <c:v>100.4</c:v>
                </c:pt>
                <c:pt idx="31">
                  <c:v>101.4</c:v>
                </c:pt>
                <c:pt idx="32">
                  <c:v>100.3</c:v>
                </c:pt>
                <c:pt idx="33">
                  <c:v>100.5</c:v>
                </c:pt>
                <c:pt idx="34">
                  <c:v>100.7</c:v>
                </c:pt>
                <c:pt idx="35">
                  <c:v>100.1</c:v>
                </c:pt>
                <c:pt idx="36">
                  <c:v>103.1</c:v>
                </c:pt>
                <c:pt idx="37">
                  <c:v>98.6</c:v>
                </c:pt>
                <c:pt idx="38">
                  <c:v>99.8</c:v>
                </c:pt>
                <c:pt idx="39">
                  <c:v>102.1</c:v>
                </c:pt>
                <c:pt idx="40">
                  <c:v>103.1</c:v>
                </c:pt>
                <c:pt idx="41">
                  <c:v>104.8</c:v>
                </c:pt>
                <c:pt idx="42">
                  <c:v>104.2</c:v>
                </c:pt>
                <c:pt idx="43">
                  <c:v>104.2</c:v>
                </c:pt>
                <c:pt idx="44">
                  <c:v>105.1</c:v>
                </c:pt>
                <c:pt idx="45">
                  <c:v>105.4</c:v>
                </c:pt>
                <c:pt idx="46" formatCode="#,##0.0">
                  <c:v>105</c:v>
                </c:pt>
                <c:pt idx="47">
                  <c:v>107.4</c:v>
                </c:pt>
                <c:pt idx="48">
                  <c:v>103.8</c:v>
                </c:pt>
                <c:pt idx="49">
                  <c:v>107.2</c:v>
                </c:pt>
                <c:pt idx="50">
                  <c:v>106.3</c:v>
                </c:pt>
                <c:pt idx="51">
                  <c:v>107.1</c:v>
                </c:pt>
                <c:pt idx="52">
                  <c:v>106.1</c:v>
                </c:pt>
                <c:pt idx="53">
                  <c:v>105.7</c:v>
                </c:pt>
                <c:pt idx="54">
                  <c:v>106.1</c:v>
                </c:pt>
                <c:pt idx="55">
                  <c:v>106.7</c:v>
                </c:pt>
                <c:pt idx="56">
                  <c:v>106.3</c:v>
                </c:pt>
                <c:pt idx="57" formatCode="#,##0.0">
                  <c:v>106</c:v>
                </c:pt>
                <c:pt idx="58">
                  <c:v>105.7</c:v>
                </c:pt>
                <c:pt idx="59" formatCode="#,##0.0">
                  <c:v>103</c:v>
                </c:pt>
                <c:pt idx="60">
                  <c:v>106.8</c:v>
                </c:pt>
                <c:pt idx="61">
                  <c:v>105.5</c:v>
                </c:pt>
                <c:pt idx="62">
                  <c:v>99.1</c:v>
                </c:pt>
                <c:pt idx="63">
                  <c:v>90.4</c:v>
                </c:pt>
                <c:pt idx="64" formatCode="#,##0.0">
                  <c:v>96</c:v>
                </c:pt>
                <c:pt idx="65">
                  <c:v>98.9</c:v>
                </c:pt>
                <c:pt idx="66">
                  <c:v>100.1</c:v>
                </c:pt>
                <c:pt idx="67">
                  <c:v>100.2</c:v>
                </c:pt>
                <c:pt idx="68">
                  <c:v>100.7</c:v>
                </c:pt>
                <c:pt idx="69">
                  <c:v>99.8</c:v>
                </c:pt>
                <c:pt idx="70">
                  <c:v>100.1</c:v>
                </c:pt>
                <c:pt idx="71">
                  <c:v>100.5</c:v>
                </c:pt>
                <c:pt idx="72">
                  <c:v>97.1</c:v>
                </c:pt>
                <c:pt idx="73">
                  <c:v>93.4</c:v>
                </c:pt>
                <c:pt idx="74">
                  <c:v>99.4</c:v>
                </c:pt>
                <c:pt idx="75">
                  <c:v>100.3</c:v>
                </c:pt>
                <c:pt idx="76">
                  <c:v>100.4</c:v>
                </c:pt>
                <c:pt idx="77">
                  <c:v>100.8</c:v>
                </c:pt>
                <c:pt idx="78">
                  <c:v>100.8</c:v>
                </c:pt>
                <c:pt idx="79" formatCode="#,##0.0">
                  <c:v>99</c:v>
                </c:pt>
                <c:pt idx="80">
                  <c:v>102.2</c:v>
                </c:pt>
                <c:pt idx="81">
                  <c:v>101.8</c:v>
                </c:pt>
                <c:pt idx="82">
                  <c:v>102.9</c:v>
                </c:pt>
                <c:pt idx="83">
                  <c:v>101.9</c:v>
                </c:pt>
                <c:pt idx="84">
                  <c:v>104.7</c:v>
                </c:pt>
                <c:pt idx="85">
                  <c:v>107.3</c:v>
                </c:pt>
                <c:pt idx="86">
                  <c:v>106.6</c:v>
                </c:pt>
                <c:pt idx="87">
                  <c:v>105.2</c:v>
                </c:pt>
                <c:pt idx="88">
                  <c:v>106.4</c:v>
                </c:pt>
                <c:pt idx="89" formatCode="#,##0.0">
                  <c:v>105</c:v>
                </c:pt>
                <c:pt idx="90">
                  <c:v>103.5</c:v>
                </c:pt>
                <c:pt idx="91">
                  <c:v>104.5</c:v>
                </c:pt>
                <c:pt idx="92">
                  <c:v>102.6</c:v>
                </c:pt>
                <c:pt idx="93">
                  <c:v>103.3</c:v>
                </c:pt>
                <c:pt idx="94">
                  <c:v>103.1</c:v>
                </c:pt>
                <c:pt idx="95">
                  <c:v>100.3</c:v>
                </c:pt>
                <c:pt idx="96">
                  <c:v>102.6</c:v>
                </c:pt>
                <c:pt idx="97">
                  <c:v>104.2</c:v>
                </c:pt>
                <c:pt idx="98">
                  <c:v>103.8</c:v>
                </c:pt>
                <c:pt idx="99">
                  <c:v>101.4</c:v>
                </c:pt>
                <c:pt idx="100">
                  <c:v>102.9</c:v>
                </c:pt>
                <c:pt idx="101" formatCode="#,##0.0">
                  <c:v>102</c:v>
                </c:pt>
                <c:pt idx="102" formatCode="#,##0.0">
                  <c:v>102</c:v>
                </c:pt>
                <c:pt idx="103">
                  <c:v>101.6</c:v>
                </c:pt>
                <c:pt idx="104">
                  <c:v>101.9</c:v>
                </c:pt>
                <c:pt idx="105">
                  <c:v>100.4</c:v>
                </c:pt>
                <c:pt idx="106">
                  <c:v>100.7</c:v>
                </c:pt>
                <c:pt idx="107">
                  <c:v>101.9</c:v>
                </c:pt>
                <c:pt idx="108">
                  <c:v>98.9</c:v>
                </c:pt>
                <c:pt idx="109">
                  <c:v>101.4</c:v>
                </c:pt>
                <c:pt idx="110">
                  <c:v>98.6</c:v>
                </c:pt>
                <c:pt idx="111">
                  <c:v>99.2</c:v>
                </c:pt>
                <c:pt idx="112">
                  <c:v>98.2</c:v>
                </c:pt>
                <c:pt idx="113">
                  <c:v>97.7</c:v>
                </c:pt>
                <c:pt idx="114">
                  <c:v>97.7</c:v>
                </c:pt>
                <c:pt idx="115">
                  <c:v>99.9</c:v>
                </c:pt>
                <c:pt idx="116">
                  <c:v>98.7</c:v>
                </c:pt>
                <c:pt idx="117">
                  <c:v>98.2</c:v>
                </c:pt>
                <c:pt idx="118">
                  <c:v>98.4</c:v>
                </c:pt>
                <c:pt idx="119">
                  <c:v>98.7</c:v>
                </c:pt>
                <c:pt idx="120">
                  <c:v>99.7</c:v>
                </c:pt>
                <c:pt idx="121">
                  <c:v>98.2</c:v>
                </c:pt>
                <c:pt idx="122">
                  <c:v>98.5</c:v>
                </c:pt>
                <c:pt idx="123">
                  <c:v>98.3</c:v>
                </c:pt>
                <c:pt idx="124" formatCode="#,##0.0">
                  <c:v>98</c:v>
                </c:pt>
                <c:pt idx="125">
                  <c:v>97.8</c:v>
                </c:pt>
                <c:pt idx="126">
                  <c:v>97.1</c:v>
                </c:pt>
                <c:pt idx="127">
                  <c:v>97.1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E-4AA0-B51D-410824D7D0E4}"/>
            </c:ext>
          </c:extLst>
        </c:ser>
        <c:ser>
          <c:idx val="2"/>
          <c:order val="1"/>
          <c:tx>
            <c:strRef>
              <c:f>'Figure 2'!$A$14</c:f>
              <c:strCache>
                <c:ptCount val="1"/>
                <c:pt idx="0">
                  <c:v>Civil engineering</c:v>
                </c:pt>
              </c:strCache>
            </c:strRef>
          </c:tx>
          <c:spPr>
            <a:ln w="19050" cap="rnd" cmpd="sng" algn="ctr">
              <a:solidFill>
                <a:srgbClr val="B0912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diamond"/>
            <c:size val="4"/>
            <c:spPr>
              <a:solidFill>
                <a:srgbClr val="B09120"/>
              </a:solidFill>
              <a:ln w="19050">
                <a:solidFill>
                  <a:srgbClr val="B09120"/>
                </a:solidFill>
                <a:prstDash val="solid"/>
              </a:ln>
            </c:spPr>
          </c:marker>
          <c:cat>
            <c:strRef>
              <c:f>'Figure 2'!$B$12:$DY$12</c:f>
              <c:strCache>
                <c:ptCount val="128"/>
                <c:pt idx="0">
                  <c:v>2015</c:v>
                </c:pt>
                <c:pt idx="1">
                  <c:v>2015M02</c:v>
                </c:pt>
                <c:pt idx="2">
                  <c:v>2015M03</c:v>
                </c:pt>
                <c:pt idx="3">
                  <c:v>2015M04</c:v>
                </c:pt>
                <c:pt idx="4">
                  <c:v>2015M05</c:v>
                </c:pt>
                <c:pt idx="5">
                  <c:v>2015M06</c:v>
                </c:pt>
                <c:pt idx="6">
                  <c:v>2015M07</c:v>
                </c:pt>
                <c:pt idx="7">
                  <c:v>2015M08</c:v>
                </c:pt>
                <c:pt idx="8">
                  <c:v>2015M09</c:v>
                </c:pt>
                <c:pt idx="9">
                  <c:v>2015M10</c:v>
                </c:pt>
                <c:pt idx="10">
                  <c:v>2015M11</c:v>
                </c:pt>
                <c:pt idx="11">
                  <c:v>2015M12</c:v>
                </c:pt>
                <c:pt idx="12">
                  <c:v>2016</c:v>
                </c:pt>
                <c:pt idx="13">
                  <c:v>2016M02</c:v>
                </c:pt>
                <c:pt idx="14">
                  <c:v>2016M03</c:v>
                </c:pt>
                <c:pt idx="15">
                  <c:v>2016M04</c:v>
                </c:pt>
                <c:pt idx="16">
                  <c:v>2016M05</c:v>
                </c:pt>
                <c:pt idx="17">
                  <c:v>2016M06</c:v>
                </c:pt>
                <c:pt idx="18">
                  <c:v>2016M07</c:v>
                </c:pt>
                <c:pt idx="19">
                  <c:v>2016M08</c:v>
                </c:pt>
                <c:pt idx="20">
                  <c:v>2016M09</c:v>
                </c:pt>
                <c:pt idx="21">
                  <c:v>2016M10</c:v>
                </c:pt>
                <c:pt idx="22">
                  <c:v>2016M11</c:v>
                </c:pt>
                <c:pt idx="23">
                  <c:v>2016M12</c:v>
                </c:pt>
                <c:pt idx="24">
                  <c:v>2017</c:v>
                </c:pt>
                <c:pt idx="25">
                  <c:v>2017M02</c:v>
                </c:pt>
                <c:pt idx="26">
                  <c:v>2017M03</c:v>
                </c:pt>
                <c:pt idx="27">
                  <c:v>2017M04</c:v>
                </c:pt>
                <c:pt idx="28">
                  <c:v>2017M05</c:v>
                </c:pt>
                <c:pt idx="29">
                  <c:v>2017M06</c:v>
                </c:pt>
                <c:pt idx="30">
                  <c:v>2017M07</c:v>
                </c:pt>
                <c:pt idx="31">
                  <c:v>2017M08</c:v>
                </c:pt>
                <c:pt idx="32">
                  <c:v>2017M09</c:v>
                </c:pt>
                <c:pt idx="33">
                  <c:v>2017M10</c:v>
                </c:pt>
                <c:pt idx="34">
                  <c:v>2017M11</c:v>
                </c:pt>
                <c:pt idx="35">
                  <c:v>2017M12</c:v>
                </c:pt>
                <c:pt idx="36">
                  <c:v>2018</c:v>
                </c:pt>
                <c:pt idx="37">
                  <c:v>2018M2</c:v>
                </c:pt>
                <c:pt idx="38">
                  <c:v>2018M3</c:v>
                </c:pt>
                <c:pt idx="39">
                  <c:v>2018M4</c:v>
                </c:pt>
                <c:pt idx="40">
                  <c:v>2018M5</c:v>
                </c:pt>
                <c:pt idx="41">
                  <c:v>2018M6</c:v>
                </c:pt>
                <c:pt idx="42">
                  <c:v>2018M7</c:v>
                </c:pt>
                <c:pt idx="43">
                  <c:v>2018M8</c:v>
                </c:pt>
                <c:pt idx="44">
                  <c:v>2018M9</c:v>
                </c:pt>
                <c:pt idx="45">
                  <c:v>2018M10</c:v>
                </c:pt>
                <c:pt idx="46">
                  <c:v>2018M11</c:v>
                </c:pt>
                <c:pt idx="47">
                  <c:v>2018M12</c:v>
                </c:pt>
                <c:pt idx="48">
                  <c:v>2019</c:v>
                </c:pt>
                <c:pt idx="49">
                  <c:v>2019M2</c:v>
                </c:pt>
                <c:pt idx="50">
                  <c:v>2019M3</c:v>
                </c:pt>
                <c:pt idx="51">
                  <c:v>2019M4</c:v>
                </c:pt>
                <c:pt idx="52">
                  <c:v>2019M5</c:v>
                </c:pt>
                <c:pt idx="53">
                  <c:v>2019M6</c:v>
                </c:pt>
                <c:pt idx="54">
                  <c:v>2019M7</c:v>
                </c:pt>
                <c:pt idx="55">
                  <c:v>2019M8</c:v>
                </c:pt>
                <c:pt idx="56">
                  <c:v>2019M9</c:v>
                </c:pt>
                <c:pt idx="57">
                  <c:v>2019M10</c:v>
                </c:pt>
                <c:pt idx="58">
                  <c:v>2019M11</c:v>
                </c:pt>
                <c:pt idx="59">
                  <c:v>2019M12</c:v>
                </c:pt>
                <c:pt idx="60">
                  <c:v>2020</c:v>
                </c:pt>
                <c:pt idx="61">
                  <c:v>2020M2</c:v>
                </c:pt>
                <c:pt idx="62">
                  <c:v>2020M3</c:v>
                </c:pt>
                <c:pt idx="63">
                  <c:v>2020M4</c:v>
                </c:pt>
                <c:pt idx="64">
                  <c:v>2020M5</c:v>
                </c:pt>
                <c:pt idx="65">
                  <c:v>2020M6</c:v>
                </c:pt>
                <c:pt idx="66">
                  <c:v>2020M7</c:v>
                </c:pt>
                <c:pt idx="67">
                  <c:v>2020M8</c:v>
                </c:pt>
                <c:pt idx="68">
                  <c:v>2020M9</c:v>
                </c:pt>
                <c:pt idx="69">
                  <c:v>2020M10</c:v>
                </c:pt>
                <c:pt idx="70">
                  <c:v>2020M11</c:v>
                </c:pt>
                <c:pt idx="71">
                  <c:v>2020M12</c:v>
                </c:pt>
                <c:pt idx="72">
                  <c:v>2021</c:v>
                </c:pt>
                <c:pt idx="73">
                  <c:v>2021M02</c:v>
                </c:pt>
                <c:pt idx="74">
                  <c:v>2021M03</c:v>
                </c:pt>
                <c:pt idx="75">
                  <c:v>2021M04</c:v>
                </c:pt>
                <c:pt idx="76">
                  <c:v>2021M05</c:v>
                </c:pt>
                <c:pt idx="77">
                  <c:v>2021M06</c:v>
                </c:pt>
                <c:pt idx="78">
                  <c:v>2021M07</c:v>
                </c:pt>
                <c:pt idx="79">
                  <c:v>2021M08</c:v>
                </c:pt>
                <c:pt idx="80">
                  <c:v>2021M09</c:v>
                </c:pt>
                <c:pt idx="81">
                  <c:v>2021M10</c:v>
                </c:pt>
                <c:pt idx="82">
                  <c:v>2021M11</c:v>
                </c:pt>
                <c:pt idx="83">
                  <c:v>2021M12</c:v>
                </c:pt>
                <c:pt idx="84">
                  <c:v>2022</c:v>
                </c:pt>
                <c:pt idx="85">
                  <c:v>2022M02</c:v>
                </c:pt>
                <c:pt idx="86">
                  <c:v>2022M03</c:v>
                </c:pt>
                <c:pt idx="87">
                  <c:v>2022M04</c:v>
                </c:pt>
                <c:pt idx="88">
                  <c:v>2022M05</c:v>
                </c:pt>
                <c:pt idx="89">
                  <c:v>2022M06</c:v>
                </c:pt>
                <c:pt idx="90">
                  <c:v>2022M07</c:v>
                </c:pt>
                <c:pt idx="91">
                  <c:v>2022M08</c:v>
                </c:pt>
                <c:pt idx="92">
                  <c:v>2022M09</c:v>
                </c:pt>
                <c:pt idx="93">
                  <c:v>2022M10</c:v>
                </c:pt>
                <c:pt idx="94">
                  <c:v>2022M11</c:v>
                </c:pt>
                <c:pt idx="95">
                  <c:v>2022M12</c:v>
                </c:pt>
                <c:pt idx="96">
                  <c:v>2023</c:v>
                </c:pt>
                <c:pt idx="97">
                  <c:v>2023M02</c:v>
                </c:pt>
                <c:pt idx="98">
                  <c:v>2023M03</c:v>
                </c:pt>
                <c:pt idx="99">
                  <c:v>2023M04</c:v>
                </c:pt>
                <c:pt idx="100">
                  <c:v>2023M05</c:v>
                </c:pt>
                <c:pt idx="101">
                  <c:v>2023M06</c:v>
                </c:pt>
                <c:pt idx="102">
                  <c:v>2023M07</c:v>
                </c:pt>
                <c:pt idx="103">
                  <c:v>2023M08</c:v>
                </c:pt>
                <c:pt idx="104">
                  <c:v>2023M09</c:v>
                </c:pt>
                <c:pt idx="105">
                  <c:v>2023M10</c:v>
                </c:pt>
                <c:pt idx="106">
                  <c:v>2023M11</c:v>
                </c:pt>
                <c:pt idx="107">
                  <c:v>2023M12</c:v>
                </c:pt>
                <c:pt idx="108">
                  <c:v>2024</c:v>
                </c:pt>
                <c:pt idx="109">
                  <c:v>2024M02</c:v>
                </c:pt>
                <c:pt idx="110">
                  <c:v>2024M03</c:v>
                </c:pt>
                <c:pt idx="111">
                  <c:v>2024M04</c:v>
                </c:pt>
                <c:pt idx="112">
                  <c:v>2024M05</c:v>
                </c:pt>
                <c:pt idx="113">
                  <c:v>2024M06</c:v>
                </c:pt>
                <c:pt idx="114">
                  <c:v>2024M07</c:v>
                </c:pt>
                <c:pt idx="115">
                  <c:v>2024M08</c:v>
                </c:pt>
                <c:pt idx="116">
                  <c:v>2024M09</c:v>
                </c:pt>
                <c:pt idx="117">
                  <c:v>2024M10</c:v>
                </c:pt>
                <c:pt idx="118">
                  <c:v>2024M11</c:v>
                </c:pt>
                <c:pt idx="119">
                  <c:v>2024M12</c:v>
                </c:pt>
                <c:pt idx="120">
                  <c:v>2025</c:v>
                </c:pt>
                <c:pt idx="121">
                  <c:v>2025M02</c:v>
                </c:pt>
                <c:pt idx="122">
                  <c:v>2025M03</c:v>
                </c:pt>
                <c:pt idx="123">
                  <c:v>2025M04</c:v>
                </c:pt>
                <c:pt idx="124">
                  <c:v>2025M05</c:v>
                </c:pt>
                <c:pt idx="125">
                  <c:v>2025M06</c:v>
                </c:pt>
                <c:pt idx="126">
                  <c:v>2025M07</c:v>
                </c:pt>
                <c:pt idx="127">
                  <c:v>2025M08</c:v>
                </c:pt>
              </c:strCache>
            </c:strRef>
          </c:cat>
          <c:val>
            <c:numRef>
              <c:f>'Figure 2'!$B$14:$DY$14</c:f>
              <c:numCache>
                <c:formatCode>#,##0.##########</c:formatCode>
                <c:ptCount val="128"/>
                <c:pt idx="0">
                  <c:v>92.4</c:v>
                </c:pt>
                <c:pt idx="1">
                  <c:v>90.9</c:v>
                </c:pt>
                <c:pt idx="2">
                  <c:v>91.9</c:v>
                </c:pt>
                <c:pt idx="3">
                  <c:v>90.8</c:v>
                </c:pt>
                <c:pt idx="4">
                  <c:v>91.3</c:v>
                </c:pt>
                <c:pt idx="5">
                  <c:v>89.7</c:v>
                </c:pt>
                <c:pt idx="6">
                  <c:v>89.4</c:v>
                </c:pt>
                <c:pt idx="7">
                  <c:v>89.5</c:v>
                </c:pt>
                <c:pt idx="8">
                  <c:v>89.3</c:v>
                </c:pt>
                <c:pt idx="9">
                  <c:v>89.6</c:v>
                </c:pt>
                <c:pt idx="10">
                  <c:v>88.7</c:v>
                </c:pt>
                <c:pt idx="11">
                  <c:v>88.6</c:v>
                </c:pt>
                <c:pt idx="12" formatCode="#,##0.0">
                  <c:v>90</c:v>
                </c:pt>
                <c:pt idx="13">
                  <c:v>88.1</c:v>
                </c:pt>
                <c:pt idx="14">
                  <c:v>85.6</c:v>
                </c:pt>
                <c:pt idx="15">
                  <c:v>85.9</c:v>
                </c:pt>
                <c:pt idx="16">
                  <c:v>85.4</c:v>
                </c:pt>
                <c:pt idx="17">
                  <c:v>86.1</c:v>
                </c:pt>
                <c:pt idx="18" formatCode="#,##0.0">
                  <c:v>86</c:v>
                </c:pt>
                <c:pt idx="19">
                  <c:v>87.1</c:v>
                </c:pt>
                <c:pt idx="20">
                  <c:v>87.6</c:v>
                </c:pt>
                <c:pt idx="21">
                  <c:v>86.4</c:v>
                </c:pt>
                <c:pt idx="22">
                  <c:v>86.9</c:v>
                </c:pt>
                <c:pt idx="23">
                  <c:v>89.5</c:v>
                </c:pt>
                <c:pt idx="24">
                  <c:v>84.2</c:v>
                </c:pt>
                <c:pt idx="25" formatCode="#,##0.0">
                  <c:v>89</c:v>
                </c:pt>
                <c:pt idx="26">
                  <c:v>92.6</c:v>
                </c:pt>
                <c:pt idx="27">
                  <c:v>91.8</c:v>
                </c:pt>
                <c:pt idx="28">
                  <c:v>92.4</c:v>
                </c:pt>
                <c:pt idx="29">
                  <c:v>92.7</c:v>
                </c:pt>
                <c:pt idx="30">
                  <c:v>92.9</c:v>
                </c:pt>
                <c:pt idx="31">
                  <c:v>94.2</c:v>
                </c:pt>
                <c:pt idx="32">
                  <c:v>93.6</c:v>
                </c:pt>
                <c:pt idx="33">
                  <c:v>96.1</c:v>
                </c:pt>
                <c:pt idx="34">
                  <c:v>96.6</c:v>
                </c:pt>
                <c:pt idx="35" formatCode="#,##0.0">
                  <c:v>97</c:v>
                </c:pt>
                <c:pt idx="36">
                  <c:v>96.5</c:v>
                </c:pt>
                <c:pt idx="37">
                  <c:v>92.7</c:v>
                </c:pt>
                <c:pt idx="38">
                  <c:v>92.2</c:v>
                </c:pt>
                <c:pt idx="39">
                  <c:v>96.2</c:v>
                </c:pt>
                <c:pt idx="40" formatCode="#,##0.0">
                  <c:v>99</c:v>
                </c:pt>
                <c:pt idx="41">
                  <c:v>100.3</c:v>
                </c:pt>
                <c:pt idx="42">
                  <c:v>101.6</c:v>
                </c:pt>
                <c:pt idx="43">
                  <c:v>103.2</c:v>
                </c:pt>
                <c:pt idx="44">
                  <c:v>101.8</c:v>
                </c:pt>
                <c:pt idx="45">
                  <c:v>102.5</c:v>
                </c:pt>
                <c:pt idx="46" formatCode="#,##0.0">
                  <c:v>101</c:v>
                </c:pt>
                <c:pt idx="47" formatCode="#,##0.0">
                  <c:v>102</c:v>
                </c:pt>
                <c:pt idx="48">
                  <c:v>99.6</c:v>
                </c:pt>
                <c:pt idx="49">
                  <c:v>102.9</c:v>
                </c:pt>
                <c:pt idx="50">
                  <c:v>103.8</c:v>
                </c:pt>
                <c:pt idx="51">
                  <c:v>104.1</c:v>
                </c:pt>
                <c:pt idx="52">
                  <c:v>102.9</c:v>
                </c:pt>
                <c:pt idx="53">
                  <c:v>103.2</c:v>
                </c:pt>
                <c:pt idx="54">
                  <c:v>105.1</c:v>
                </c:pt>
                <c:pt idx="55">
                  <c:v>104.2</c:v>
                </c:pt>
                <c:pt idx="56">
                  <c:v>105.9</c:v>
                </c:pt>
                <c:pt idx="57">
                  <c:v>103.2</c:v>
                </c:pt>
                <c:pt idx="58">
                  <c:v>103.5</c:v>
                </c:pt>
                <c:pt idx="59" formatCode="#,##0.0">
                  <c:v>105</c:v>
                </c:pt>
                <c:pt idx="60">
                  <c:v>106.2</c:v>
                </c:pt>
                <c:pt idx="61" formatCode="#,##0.0">
                  <c:v>105</c:v>
                </c:pt>
                <c:pt idx="62">
                  <c:v>90.8</c:v>
                </c:pt>
                <c:pt idx="63" formatCode="#,##0.0">
                  <c:v>84</c:v>
                </c:pt>
                <c:pt idx="64">
                  <c:v>95.9</c:v>
                </c:pt>
                <c:pt idx="65">
                  <c:v>100.3</c:v>
                </c:pt>
                <c:pt idx="66">
                  <c:v>101.8</c:v>
                </c:pt>
                <c:pt idx="67">
                  <c:v>102.3</c:v>
                </c:pt>
                <c:pt idx="68">
                  <c:v>100.6</c:v>
                </c:pt>
                <c:pt idx="69">
                  <c:v>100.2</c:v>
                </c:pt>
                <c:pt idx="70" formatCode="#,##0.0">
                  <c:v>101</c:v>
                </c:pt>
                <c:pt idx="71">
                  <c:v>100.2</c:v>
                </c:pt>
                <c:pt idx="72">
                  <c:v>98.9</c:v>
                </c:pt>
                <c:pt idx="73">
                  <c:v>93.9</c:v>
                </c:pt>
                <c:pt idx="74">
                  <c:v>99.9</c:v>
                </c:pt>
                <c:pt idx="75">
                  <c:v>100.5</c:v>
                </c:pt>
                <c:pt idx="76" formatCode="#,##0.0">
                  <c:v>100</c:v>
                </c:pt>
                <c:pt idx="77">
                  <c:v>100.6</c:v>
                </c:pt>
                <c:pt idx="78">
                  <c:v>100.2</c:v>
                </c:pt>
                <c:pt idx="79">
                  <c:v>100.3</c:v>
                </c:pt>
                <c:pt idx="80">
                  <c:v>101.5</c:v>
                </c:pt>
                <c:pt idx="81">
                  <c:v>100.4</c:v>
                </c:pt>
                <c:pt idx="82">
                  <c:v>101.9</c:v>
                </c:pt>
                <c:pt idx="83" formatCode="#,##0.0">
                  <c:v>102</c:v>
                </c:pt>
                <c:pt idx="84">
                  <c:v>104.5</c:v>
                </c:pt>
                <c:pt idx="85">
                  <c:v>103.8</c:v>
                </c:pt>
                <c:pt idx="86">
                  <c:v>104.7</c:v>
                </c:pt>
                <c:pt idx="87">
                  <c:v>100.9</c:v>
                </c:pt>
                <c:pt idx="88">
                  <c:v>103.2</c:v>
                </c:pt>
                <c:pt idx="89">
                  <c:v>103.1</c:v>
                </c:pt>
                <c:pt idx="90">
                  <c:v>102.6</c:v>
                </c:pt>
                <c:pt idx="91">
                  <c:v>101.9</c:v>
                </c:pt>
                <c:pt idx="92">
                  <c:v>101.9</c:v>
                </c:pt>
                <c:pt idx="93" formatCode="#,##0.0">
                  <c:v>104</c:v>
                </c:pt>
                <c:pt idx="94">
                  <c:v>105.1</c:v>
                </c:pt>
                <c:pt idx="95">
                  <c:v>102.9</c:v>
                </c:pt>
                <c:pt idx="96">
                  <c:v>107.4</c:v>
                </c:pt>
                <c:pt idx="97">
                  <c:v>108.4</c:v>
                </c:pt>
                <c:pt idx="98">
                  <c:v>106.9</c:v>
                </c:pt>
                <c:pt idx="99" formatCode="#,##0.0">
                  <c:v>107</c:v>
                </c:pt>
                <c:pt idx="100">
                  <c:v>108.4</c:v>
                </c:pt>
                <c:pt idx="101">
                  <c:v>108.4</c:v>
                </c:pt>
                <c:pt idx="102">
                  <c:v>108.5</c:v>
                </c:pt>
                <c:pt idx="103">
                  <c:v>108.5</c:v>
                </c:pt>
                <c:pt idx="104">
                  <c:v>109.4</c:v>
                </c:pt>
                <c:pt idx="105">
                  <c:v>108.4</c:v>
                </c:pt>
                <c:pt idx="106">
                  <c:v>107.2</c:v>
                </c:pt>
                <c:pt idx="107">
                  <c:v>108.8</c:v>
                </c:pt>
                <c:pt idx="108">
                  <c:v>107.1</c:v>
                </c:pt>
                <c:pt idx="109">
                  <c:v>109.8</c:v>
                </c:pt>
                <c:pt idx="110">
                  <c:v>108.6</c:v>
                </c:pt>
                <c:pt idx="111">
                  <c:v>107.8</c:v>
                </c:pt>
                <c:pt idx="112">
                  <c:v>106.1</c:v>
                </c:pt>
                <c:pt idx="113">
                  <c:v>108.2</c:v>
                </c:pt>
                <c:pt idx="114">
                  <c:v>107.5</c:v>
                </c:pt>
                <c:pt idx="115">
                  <c:v>105.9</c:v>
                </c:pt>
                <c:pt idx="116">
                  <c:v>106.5</c:v>
                </c:pt>
                <c:pt idx="117">
                  <c:v>107.9</c:v>
                </c:pt>
                <c:pt idx="118">
                  <c:v>110.2</c:v>
                </c:pt>
                <c:pt idx="119">
                  <c:v>111.6</c:v>
                </c:pt>
                <c:pt idx="120">
                  <c:v>108.6</c:v>
                </c:pt>
                <c:pt idx="121">
                  <c:v>108.1</c:v>
                </c:pt>
                <c:pt idx="122">
                  <c:v>109.5</c:v>
                </c:pt>
                <c:pt idx="123">
                  <c:v>109.7</c:v>
                </c:pt>
                <c:pt idx="124">
                  <c:v>109.3</c:v>
                </c:pt>
                <c:pt idx="125">
                  <c:v>109.2</c:v>
                </c:pt>
                <c:pt idx="126">
                  <c:v>109.9</c:v>
                </c:pt>
                <c:pt idx="127">
                  <c:v>107.1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8E-4AA0-B51D-410824D7D0E4}"/>
            </c:ext>
          </c:extLst>
        </c:ser>
        <c:ser>
          <c:idx val="3"/>
          <c:order val="2"/>
          <c:tx>
            <c:strRef>
              <c:f>'Figure 2'!$A$15</c:f>
              <c:strCache>
                <c:ptCount val="1"/>
                <c:pt idx="0">
                  <c:v>Specialised activities</c:v>
                </c:pt>
              </c:strCache>
            </c:strRef>
          </c:tx>
          <c:spPr>
            <a:ln w="19050" cap="rnd" cmpd="sng" algn="ctr">
              <a:solidFill>
                <a:srgbClr val="E0404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triangle"/>
            <c:size val="4"/>
            <c:spPr>
              <a:solidFill>
                <a:srgbClr val="E04040"/>
              </a:solidFill>
              <a:ln w="19050">
                <a:solidFill>
                  <a:srgbClr val="E04040"/>
                </a:solidFill>
                <a:prstDash val="solid"/>
              </a:ln>
            </c:spPr>
          </c:marker>
          <c:cat>
            <c:strRef>
              <c:f>'Figure 2'!$B$12:$DY$12</c:f>
              <c:strCache>
                <c:ptCount val="128"/>
                <c:pt idx="0">
                  <c:v>2015</c:v>
                </c:pt>
                <c:pt idx="1">
                  <c:v>2015M02</c:v>
                </c:pt>
                <c:pt idx="2">
                  <c:v>2015M03</c:v>
                </c:pt>
                <c:pt idx="3">
                  <c:v>2015M04</c:v>
                </c:pt>
                <c:pt idx="4">
                  <c:v>2015M05</c:v>
                </c:pt>
                <c:pt idx="5">
                  <c:v>2015M06</c:v>
                </c:pt>
                <c:pt idx="6">
                  <c:v>2015M07</c:v>
                </c:pt>
                <c:pt idx="7">
                  <c:v>2015M08</c:v>
                </c:pt>
                <c:pt idx="8">
                  <c:v>2015M09</c:v>
                </c:pt>
                <c:pt idx="9">
                  <c:v>2015M10</c:v>
                </c:pt>
                <c:pt idx="10">
                  <c:v>2015M11</c:v>
                </c:pt>
                <c:pt idx="11">
                  <c:v>2015M12</c:v>
                </c:pt>
                <c:pt idx="12">
                  <c:v>2016</c:v>
                </c:pt>
                <c:pt idx="13">
                  <c:v>2016M02</c:v>
                </c:pt>
                <c:pt idx="14">
                  <c:v>2016M03</c:v>
                </c:pt>
                <c:pt idx="15">
                  <c:v>2016M04</c:v>
                </c:pt>
                <c:pt idx="16">
                  <c:v>2016M05</c:v>
                </c:pt>
                <c:pt idx="17">
                  <c:v>2016M06</c:v>
                </c:pt>
                <c:pt idx="18">
                  <c:v>2016M07</c:v>
                </c:pt>
                <c:pt idx="19">
                  <c:v>2016M08</c:v>
                </c:pt>
                <c:pt idx="20">
                  <c:v>2016M09</c:v>
                </c:pt>
                <c:pt idx="21">
                  <c:v>2016M10</c:v>
                </c:pt>
                <c:pt idx="22">
                  <c:v>2016M11</c:v>
                </c:pt>
                <c:pt idx="23">
                  <c:v>2016M12</c:v>
                </c:pt>
                <c:pt idx="24">
                  <c:v>2017</c:v>
                </c:pt>
                <c:pt idx="25">
                  <c:v>2017M02</c:v>
                </c:pt>
                <c:pt idx="26">
                  <c:v>2017M03</c:v>
                </c:pt>
                <c:pt idx="27">
                  <c:v>2017M04</c:v>
                </c:pt>
                <c:pt idx="28">
                  <c:v>2017M05</c:v>
                </c:pt>
                <c:pt idx="29">
                  <c:v>2017M06</c:v>
                </c:pt>
                <c:pt idx="30">
                  <c:v>2017M07</c:v>
                </c:pt>
                <c:pt idx="31">
                  <c:v>2017M08</c:v>
                </c:pt>
                <c:pt idx="32">
                  <c:v>2017M09</c:v>
                </c:pt>
                <c:pt idx="33">
                  <c:v>2017M10</c:v>
                </c:pt>
                <c:pt idx="34">
                  <c:v>2017M11</c:v>
                </c:pt>
                <c:pt idx="35">
                  <c:v>2017M12</c:v>
                </c:pt>
                <c:pt idx="36">
                  <c:v>2018</c:v>
                </c:pt>
                <c:pt idx="37">
                  <c:v>2018M2</c:v>
                </c:pt>
                <c:pt idx="38">
                  <c:v>2018M3</c:v>
                </c:pt>
                <c:pt idx="39">
                  <c:v>2018M4</c:v>
                </c:pt>
                <c:pt idx="40">
                  <c:v>2018M5</c:v>
                </c:pt>
                <c:pt idx="41">
                  <c:v>2018M6</c:v>
                </c:pt>
                <c:pt idx="42">
                  <c:v>2018M7</c:v>
                </c:pt>
                <c:pt idx="43">
                  <c:v>2018M8</c:v>
                </c:pt>
                <c:pt idx="44">
                  <c:v>2018M9</c:v>
                </c:pt>
                <c:pt idx="45">
                  <c:v>2018M10</c:v>
                </c:pt>
                <c:pt idx="46">
                  <c:v>2018M11</c:v>
                </c:pt>
                <c:pt idx="47">
                  <c:v>2018M12</c:v>
                </c:pt>
                <c:pt idx="48">
                  <c:v>2019</c:v>
                </c:pt>
                <c:pt idx="49">
                  <c:v>2019M2</c:v>
                </c:pt>
                <c:pt idx="50">
                  <c:v>2019M3</c:v>
                </c:pt>
                <c:pt idx="51">
                  <c:v>2019M4</c:v>
                </c:pt>
                <c:pt idx="52">
                  <c:v>2019M5</c:v>
                </c:pt>
                <c:pt idx="53">
                  <c:v>2019M6</c:v>
                </c:pt>
                <c:pt idx="54">
                  <c:v>2019M7</c:v>
                </c:pt>
                <c:pt idx="55">
                  <c:v>2019M8</c:v>
                </c:pt>
                <c:pt idx="56">
                  <c:v>2019M9</c:v>
                </c:pt>
                <c:pt idx="57">
                  <c:v>2019M10</c:v>
                </c:pt>
                <c:pt idx="58">
                  <c:v>2019M11</c:v>
                </c:pt>
                <c:pt idx="59">
                  <c:v>2019M12</c:v>
                </c:pt>
                <c:pt idx="60">
                  <c:v>2020</c:v>
                </c:pt>
                <c:pt idx="61">
                  <c:v>2020M2</c:v>
                </c:pt>
                <c:pt idx="62">
                  <c:v>2020M3</c:v>
                </c:pt>
                <c:pt idx="63">
                  <c:v>2020M4</c:v>
                </c:pt>
                <c:pt idx="64">
                  <c:v>2020M5</c:v>
                </c:pt>
                <c:pt idx="65">
                  <c:v>2020M6</c:v>
                </c:pt>
                <c:pt idx="66">
                  <c:v>2020M7</c:v>
                </c:pt>
                <c:pt idx="67">
                  <c:v>2020M8</c:v>
                </c:pt>
                <c:pt idx="68">
                  <c:v>2020M9</c:v>
                </c:pt>
                <c:pt idx="69">
                  <c:v>2020M10</c:v>
                </c:pt>
                <c:pt idx="70">
                  <c:v>2020M11</c:v>
                </c:pt>
                <c:pt idx="71">
                  <c:v>2020M12</c:v>
                </c:pt>
                <c:pt idx="72">
                  <c:v>2021</c:v>
                </c:pt>
                <c:pt idx="73">
                  <c:v>2021M02</c:v>
                </c:pt>
                <c:pt idx="74">
                  <c:v>2021M03</c:v>
                </c:pt>
                <c:pt idx="75">
                  <c:v>2021M04</c:v>
                </c:pt>
                <c:pt idx="76">
                  <c:v>2021M05</c:v>
                </c:pt>
                <c:pt idx="77">
                  <c:v>2021M06</c:v>
                </c:pt>
                <c:pt idx="78">
                  <c:v>2021M07</c:v>
                </c:pt>
                <c:pt idx="79">
                  <c:v>2021M08</c:v>
                </c:pt>
                <c:pt idx="80">
                  <c:v>2021M09</c:v>
                </c:pt>
                <c:pt idx="81">
                  <c:v>2021M10</c:v>
                </c:pt>
                <c:pt idx="82">
                  <c:v>2021M11</c:v>
                </c:pt>
                <c:pt idx="83">
                  <c:v>2021M12</c:v>
                </c:pt>
                <c:pt idx="84">
                  <c:v>2022</c:v>
                </c:pt>
                <c:pt idx="85">
                  <c:v>2022M02</c:v>
                </c:pt>
                <c:pt idx="86">
                  <c:v>2022M03</c:v>
                </c:pt>
                <c:pt idx="87">
                  <c:v>2022M04</c:v>
                </c:pt>
                <c:pt idx="88">
                  <c:v>2022M05</c:v>
                </c:pt>
                <c:pt idx="89">
                  <c:v>2022M06</c:v>
                </c:pt>
                <c:pt idx="90">
                  <c:v>2022M07</c:v>
                </c:pt>
                <c:pt idx="91">
                  <c:v>2022M08</c:v>
                </c:pt>
                <c:pt idx="92">
                  <c:v>2022M09</c:v>
                </c:pt>
                <c:pt idx="93">
                  <c:v>2022M10</c:v>
                </c:pt>
                <c:pt idx="94">
                  <c:v>2022M11</c:v>
                </c:pt>
                <c:pt idx="95">
                  <c:v>2022M12</c:v>
                </c:pt>
                <c:pt idx="96">
                  <c:v>2023</c:v>
                </c:pt>
                <c:pt idx="97">
                  <c:v>2023M02</c:v>
                </c:pt>
                <c:pt idx="98">
                  <c:v>2023M03</c:v>
                </c:pt>
                <c:pt idx="99">
                  <c:v>2023M04</c:v>
                </c:pt>
                <c:pt idx="100">
                  <c:v>2023M05</c:v>
                </c:pt>
                <c:pt idx="101">
                  <c:v>2023M06</c:v>
                </c:pt>
                <c:pt idx="102">
                  <c:v>2023M07</c:v>
                </c:pt>
                <c:pt idx="103">
                  <c:v>2023M08</c:v>
                </c:pt>
                <c:pt idx="104">
                  <c:v>2023M09</c:v>
                </c:pt>
                <c:pt idx="105">
                  <c:v>2023M10</c:v>
                </c:pt>
                <c:pt idx="106">
                  <c:v>2023M11</c:v>
                </c:pt>
                <c:pt idx="107">
                  <c:v>2023M12</c:v>
                </c:pt>
                <c:pt idx="108">
                  <c:v>2024</c:v>
                </c:pt>
                <c:pt idx="109">
                  <c:v>2024M02</c:v>
                </c:pt>
                <c:pt idx="110">
                  <c:v>2024M03</c:v>
                </c:pt>
                <c:pt idx="111">
                  <c:v>2024M04</c:v>
                </c:pt>
                <c:pt idx="112">
                  <c:v>2024M05</c:v>
                </c:pt>
                <c:pt idx="113">
                  <c:v>2024M06</c:v>
                </c:pt>
                <c:pt idx="114">
                  <c:v>2024M07</c:v>
                </c:pt>
                <c:pt idx="115">
                  <c:v>2024M08</c:v>
                </c:pt>
                <c:pt idx="116">
                  <c:v>2024M09</c:v>
                </c:pt>
                <c:pt idx="117">
                  <c:v>2024M10</c:v>
                </c:pt>
                <c:pt idx="118">
                  <c:v>2024M11</c:v>
                </c:pt>
                <c:pt idx="119">
                  <c:v>2024M12</c:v>
                </c:pt>
                <c:pt idx="120">
                  <c:v>2025</c:v>
                </c:pt>
                <c:pt idx="121">
                  <c:v>2025M02</c:v>
                </c:pt>
                <c:pt idx="122">
                  <c:v>2025M03</c:v>
                </c:pt>
                <c:pt idx="123">
                  <c:v>2025M04</c:v>
                </c:pt>
                <c:pt idx="124">
                  <c:v>2025M05</c:v>
                </c:pt>
                <c:pt idx="125">
                  <c:v>2025M06</c:v>
                </c:pt>
                <c:pt idx="126">
                  <c:v>2025M07</c:v>
                </c:pt>
                <c:pt idx="127">
                  <c:v>2025M08</c:v>
                </c:pt>
              </c:strCache>
            </c:strRef>
          </c:cat>
          <c:val>
            <c:numRef>
              <c:f>'Figure 2'!$B$15:$DY$15</c:f>
              <c:numCache>
                <c:formatCode>#,##0.##########</c:formatCode>
                <c:ptCount val="128"/>
                <c:pt idx="0">
                  <c:v>94.6</c:v>
                </c:pt>
                <c:pt idx="1">
                  <c:v>93.1</c:v>
                </c:pt>
                <c:pt idx="2">
                  <c:v>95.6</c:v>
                </c:pt>
                <c:pt idx="3">
                  <c:v>94.7</c:v>
                </c:pt>
                <c:pt idx="4">
                  <c:v>94.4</c:v>
                </c:pt>
                <c:pt idx="5" formatCode="#,##0.0">
                  <c:v>95</c:v>
                </c:pt>
                <c:pt idx="6">
                  <c:v>93.9</c:v>
                </c:pt>
                <c:pt idx="7">
                  <c:v>95.4</c:v>
                </c:pt>
                <c:pt idx="8">
                  <c:v>94.9</c:v>
                </c:pt>
                <c:pt idx="9">
                  <c:v>94.9</c:v>
                </c:pt>
                <c:pt idx="10">
                  <c:v>95.8</c:v>
                </c:pt>
                <c:pt idx="11">
                  <c:v>95.4</c:v>
                </c:pt>
                <c:pt idx="12">
                  <c:v>97.1</c:v>
                </c:pt>
                <c:pt idx="13">
                  <c:v>94.7</c:v>
                </c:pt>
                <c:pt idx="14">
                  <c:v>95.1</c:v>
                </c:pt>
                <c:pt idx="15">
                  <c:v>94.9</c:v>
                </c:pt>
                <c:pt idx="16">
                  <c:v>96.4</c:v>
                </c:pt>
                <c:pt idx="17">
                  <c:v>95.7</c:v>
                </c:pt>
                <c:pt idx="18">
                  <c:v>96.4</c:v>
                </c:pt>
                <c:pt idx="19" formatCode="#,##0.0">
                  <c:v>98</c:v>
                </c:pt>
                <c:pt idx="20">
                  <c:v>97.4</c:v>
                </c:pt>
                <c:pt idx="21">
                  <c:v>97.2</c:v>
                </c:pt>
                <c:pt idx="22">
                  <c:v>98.1</c:v>
                </c:pt>
                <c:pt idx="23">
                  <c:v>97.9</c:v>
                </c:pt>
                <c:pt idx="24">
                  <c:v>97.7</c:v>
                </c:pt>
                <c:pt idx="25">
                  <c:v>99.4</c:v>
                </c:pt>
                <c:pt idx="26" formatCode="#,##0.0">
                  <c:v>100</c:v>
                </c:pt>
                <c:pt idx="27">
                  <c:v>101.4</c:v>
                </c:pt>
                <c:pt idx="28">
                  <c:v>101.1</c:v>
                </c:pt>
                <c:pt idx="29">
                  <c:v>101.2</c:v>
                </c:pt>
                <c:pt idx="30">
                  <c:v>101.3</c:v>
                </c:pt>
                <c:pt idx="31" formatCode="#,##0.0">
                  <c:v>102</c:v>
                </c:pt>
                <c:pt idx="32">
                  <c:v>101.4</c:v>
                </c:pt>
                <c:pt idx="33">
                  <c:v>103.2</c:v>
                </c:pt>
                <c:pt idx="34">
                  <c:v>103.3</c:v>
                </c:pt>
                <c:pt idx="35">
                  <c:v>104.8</c:v>
                </c:pt>
                <c:pt idx="36">
                  <c:v>100.2</c:v>
                </c:pt>
                <c:pt idx="37">
                  <c:v>99.5</c:v>
                </c:pt>
                <c:pt idx="38">
                  <c:v>97.8</c:v>
                </c:pt>
                <c:pt idx="39">
                  <c:v>100.9</c:v>
                </c:pt>
                <c:pt idx="40">
                  <c:v>99.5</c:v>
                </c:pt>
                <c:pt idx="41" formatCode="#,##0.0">
                  <c:v>101</c:v>
                </c:pt>
                <c:pt idx="42">
                  <c:v>101.9</c:v>
                </c:pt>
                <c:pt idx="43">
                  <c:v>102.4</c:v>
                </c:pt>
                <c:pt idx="44">
                  <c:v>102.9</c:v>
                </c:pt>
                <c:pt idx="45">
                  <c:v>101.9</c:v>
                </c:pt>
                <c:pt idx="46">
                  <c:v>102.2</c:v>
                </c:pt>
                <c:pt idx="47">
                  <c:v>104.1</c:v>
                </c:pt>
                <c:pt idx="48">
                  <c:v>101.2</c:v>
                </c:pt>
                <c:pt idx="49">
                  <c:v>103.6</c:v>
                </c:pt>
                <c:pt idx="50">
                  <c:v>104.1</c:v>
                </c:pt>
                <c:pt idx="51">
                  <c:v>103.8</c:v>
                </c:pt>
                <c:pt idx="52">
                  <c:v>102.5</c:v>
                </c:pt>
                <c:pt idx="53">
                  <c:v>102.5</c:v>
                </c:pt>
                <c:pt idx="54">
                  <c:v>102.6</c:v>
                </c:pt>
                <c:pt idx="55">
                  <c:v>102.3</c:v>
                </c:pt>
                <c:pt idx="56">
                  <c:v>103.1</c:v>
                </c:pt>
                <c:pt idx="57">
                  <c:v>102.1</c:v>
                </c:pt>
                <c:pt idx="58" formatCode="#,##0.0">
                  <c:v>103</c:v>
                </c:pt>
                <c:pt idx="59">
                  <c:v>102.1</c:v>
                </c:pt>
                <c:pt idx="60">
                  <c:v>103.3</c:v>
                </c:pt>
                <c:pt idx="61">
                  <c:v>103.2</c:v>
                </c:pt>
                <c:pt idx="62">
                  <c:v>90.7</c:v>
                </c:pt>
                <c:pt idx="63">
                  <c:v>77.2</c:v>
                </c:pt>
                <c:pt idx="64">
                  <c:v>91.9</c:v>
                </c:pt>
                <c:pt idx="65" formatCode="#,##0.0">
                  <c:v>98</c:v>
                </c:pt>
                <c:pt idx="66">
                  <c:v>96.8</c:v>
                </c:pt>
                <c:pt idx="67" formatCode="#,##0.0">
                  <c:v>100</c:v>
                </c:pt>
                <c:pt idx="68">
                  <c:v>98.9</c:v>
                </c:pt>
                <c:pt idx="69">
                  <c:v>98.9</c:v>
                </c:pt>
                <c:pt idx="70">
                  <c:v>100.3</c:v>
                </c:pt>
                <c:pt idx="71" formatCode="#,##0.0">
                  <c:v>104</c:v>
                </c:pt>
                <c:pt idx="72">
                  <c:v>97.7</c:v>
                </c:pt>
                <c:pt idx="73">
                  <c:v>96.5</c:v>
                </c:pt>
                <c:pt idx="74" formatCode="#,##0.0">
                  <c:v>100</c:v>
                </c:pt>
                <c:pt idx="75">
                  <c:v>99.8</c:v>
                </c:pt>
                <c:pt idx="76">
                  <c:v>100.4</c:v>
                </c:pt>
                <c:pt idx="77">
                  <c:v>100.8</c:v>
                </c:pt>
                <c:pt idx="78">
                  <c:v>100.5</c:v>
                </c:pt>
                <c:pt idx="79">
                  <c:v>99.6</c:v>
                </c:pt>
                <c:pt idx="80">
                  <c:v>100.7</c:v>
                </c:pt>
                <c:pt idx="81">
                  <c:v>101.6</c:v>
                </c:pt>
                <c:pt idx="82">
                  <c:v>101.6</c:v>
                </c:pt>
                <c:pt idx="83">
                  <c:v>100.8</c:v>
                </c:pt>
                <c:pt idx="84">
                  <c:v>102.1</c:v>
                </c:pt>
                <c:pt idx="85">
                  <c:v>102.3</c:v>
                </c:pt>
                <c:pt idx="86">
                  <c:v>103.2</c:v>
                </c:pt>
                <c:pt idx="87">
                  <c:v>102.3</c:v>
                </c:pt>
                <c:pt idx="88">
                  <c:v>102.8</c:v>
                </c:pt>
                <c:pt idx="89">
                  <c:v>102.3</c:v>
                </c:pt>
                <c:pt idx="90">
                  <c:v>101.4</c:v>
                </c:pt>
                <c:pt idx="91">
                  <c:v>101.8</c:v>
                </c:pt>
                <c:pt idx="92" formatCode="#,##0.0">
                  <c:v>102</c:v>
                </c:pt>
                <c:pt idx="93">
                  <c:v>102.7</c:v>
                </c:pt>
                <c:pt idx="94">
                  <c:v>103.1</c:v>
                </c:pt>
                <c:pt idx="95">
                  <c:v>101.1</c:v>
                </c:pt>
                <c:pt idx="96">
                  <c:v>103.5</c:v>
                </c:pt>
                <c:pt idx="97" formatCode="#,##0.0">
                  <c:v>105</c:v>
                </c:pt>
                <c:pt idx="98">
                  <c:v>103.8</c:v>
                </c:pt>
                <c:pt idx="99">
                  <c:v>103.8</c:v>
                </c:pt>
                <c:pt idx="100">
                  <c:v>104.4</c:v>
                </c:pt>
                <c:pt idx="101">
                  <c:v>104.2</c:v>
                </c:pt>
                <c:pt idx="102">
                  <c:v>104.6</c:v>
                </c:pt>
                <c:pt idx="103">
                  <c:v>103.8</c:v>
                </c:pt>
                <c:pt idx="104">
                  <c:v>104.3</c:v>
                </c:pt>
                <c:pt idx="105">
                  <c:v>104.3</c:v>
                </c:pt>
                <c:pt idx="106">
                  <c:v>103.2</c:v>
                </c:pt>
                <c:pt idx="107" formatCode="#,##0.0">
                  <c:v>104</c:v>
                </c:pt>
                <c:pt idx="108">
                  <c:v>103.8</c:v>
                </c:pt>
                <c:pt idx="109">
                  <c:v>103.3</c:v>
                </c:pt>
                <c:pt idx="110">
                  <c:v>102.9</c:v>
                </c:pt>
                <c:pt idx="111">
                  <c:v>102.3</c:v>
                </c:pt>
                <c:pt idx="112">
                  <c:v>102.1</c:v>
                </c:pt>
                <c:pt idx="113">
                  <c:v>102.5</c:v>
                </c:pt>
                <c:pt idx="114">
                  <c:v>101.8</c:v>
                </c:pt>
                <c:pt idx="115">
                  <c:v>102.3</c:v>
                </c:pt>
                <c:pt idx="116">
                  <c:v>101.9</c:v>
                </c:pt>
                <c:pt idx="117">
                  <c:v>101.8</c:v>
                </c:pt>
                <c:pt idx="118">
                  <c:v>103.3</c:v>
                </c:pt>
                <c:pt idx="119">
                  <c:v>103.5</c:v>
                </c:pt>
                <c:pt idx="120">
                  <c:v>104.2</c:v>
                </c:pt>
                <c:pt idx="121">
                  <c:v>103.3</c:v>
                </c:pt>
                <c:pt idx="122">
                  <c:v>103.5</c:v>
                </c:pt>
                <c:pt idx="123">
                  <c:v>103.9</c:v>
                </c:pt>
                <c:pt idx="124">
                  <c:v>102.7</c:v>
                </c:pt>
                <c:pt idx="125">
                  <c:v>103.1</c:v>
                </c:pt>
                <c:pt idx="126" formatCode="#,##0.0">
                  <c:v>104</c:v>
                </c:pt>
                <c:pt idx="127" formatCode="#,##0.0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A-4EEA-8E29-E6F9AF983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402776"/>
        <c:axId val="248404736"/>
      </c:lineChart>
      <c:catAx>
        <c:axId val="248402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248404736"/>
        <c:crosses val="autoZero"/>
        <c:auto val="1"/>
        <c:lblAlgn val="ctr"/>
        <c:lblOffset val="100"/>
        <c:tickLblSkip val="12"/>
        <c:tickMarkSkip val="1"/>
        <c:noMultiLvlLbl val="0"/>
      </c:catAx>
      <c:valAx>
        <c:axId val="248404736"/>
        <c:scaling>
          <c:orientation val="minMax"/>
          <c:max val="120"/>
          <c:min val="7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248402776"/>
        <c:crosses val="autoZero"/>
        <c:crossBetween val="between"/>
        <c:majorUnit val="10"/>
      </c:valAx>
    </c:plotArea>
    <c:legend>
      <c:legendPos val="b"/>
      <c:layout>
        <c:manualLayout>
          <c:xMode val="edge"/>
          <c:yMode val="edge"/>
          <c:x val="0.22471086614173227"/>
          <c:y val="0.83564390155222379"/>
          <c:w val="0.5505782677165354"/>
          <c:h val="4.1437547966394164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6350</xdr:rowOff>
    </xdr:from>
    <xdr:to>
      <xdr:col>14</xdr:col>
      <xdr:colOff>254000</xdr:colOff>
      <xdr:row>56</xdr:row>
      <xdr:rowOff>11332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0.91706</cdr:y>
    </cdr:from>
    <cdr:ext cx="7995000" cy="484876"/>
    <cdr:sp macro="" textlink="">
      <cdr:nvSpPr>
        <cdr:cNvPr id="7" name="FootonotesShape">
          <a:extLst xmlns:a="http://schemas.openxmlformats.org/drawingml/2006/main">
            <a:ext uri="{FF2B5EF4-FFF2-40B4-BE49-F238E27FC236}">
              <a16:creationId xmlns:a16="http://schemas.microsoft.com/office/drawing/2014/main" id="{DDA17E23-E829-4456-6B58-8D37FFAC7DCD}"/>
            </a:ext>
          </a:extLst>
        </cdr:cNvPr>
        <cdr:cNvSpPr txBox="1"/>
      </cdr:nvSpPr>
      <cdr:spPr>
        <a:xfrm xmlns:a="http://schemas.openxmlformats.org/drawingml/2006/main">
          <a:off x="0" y="5361473"/>
          <a:ext cx="7995000" cy="4848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 kern="1200">
              <a:latin typeface="Arial" panose="020B0604020202020204" pitchFamily="34" charset="0"/>
            </a:rPr>
            <a:t>Note: (vertical) y-axis does not start at 0.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 kern="1200">
              <a:latin typeface="Arial" panose="020B0604020202020204" pitchFamily="34" charset="0"/>
            </a:rPr>
            <a:t>Source:</a:t>
          </a:r>
          <a:r>
            <a:rPr lang="en-IE" sz="1200" kern="1200">
              <a:latin typeface="Arial" panose="020B0604020202020204" pitchFamily="34" charset="0"/>
            </a:rPr>
            <a:t> Eurostat (online data code: sts_copr_m)</a:t>
          </a:r>
        </a:p>
      </cdr:txBody>
    </cdr:sp>
  </cdr:absSizeAnchor>
  <cdr:absSizeAnchor xmlns:cdr="http://schemas.openxmlformats.org/drawingml/2006/chartDrawing">
    <cdr:from>
      <cdr:x>0.83936</cdr:x>
      <cdr:y>0.92805</cdr:y>
    </cdr:from>
    <cdr:ext cx="1530099" cy="420623"/>
    <cdr:pic>
      <cdr:nvPicPr>
        <cdr:cNvPr id="9" name="LogoShape">
          <a:extLst xmlns:a="http://schemas.openxmlformats.org/drawingml/2006/main">
            <a:ext uri="{FF2B5EF4-FFF2-40B4-BE49-F238E27FC236}">
              <a16:creationId xmlns:a16="http://schemas.microsoft.com/office/drawing/2014/main" id="{D914E921-C8B0-F62B-F78D-BB219953761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25726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31</xdr:row>
      <xdr:rowOff>38100</xdr:rowOff>
    </xdr:from>
    <xdr:to>
      <xdr:col>13</xdr:col>
      <xdr:colOff>259080</xdr:colOff>
      <xdr:row>63</xdr:row>
      <xdr:rowOff>75306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0.91793</cdr:y>
    </cdr:from>
    <cdr:ext cx="7995000" cy="484873"/>
    <cdr:sp macro="" textlink="">
      <cdr:nvSpPr>
        <cdr:cNvPr id="3" name="FootonotesShape">
          <a:extLst xmlns:a="http://schemas.openxmlformats.org/drawingml/2006/main">
            <a:ext uri="{FF2B5EF4-FFF2-40B4-BE49-F238E27FC236}">
              <a16:creationId xmlns:a16="http://schemas.microsoft.com/office/drawing/2014/main" id="{1D610CC2-0827-EF53-74B5-33B41AA28B91}"/>
            </a:ext>
          </a:extLst>
        </cdr:cNvPr>
        <cdr:cNvSpPr txBox="1"/>
      </cdr:nvSpPr>
      <cdr:spPr>
        <a:xfrm xmlns:a="http://schemas.openxmlformats.org/drawingml/2006/main">
          <a:off x="0" y="5422908"/>
          <a:ext cx="7995000" cy="4848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 kern="1200">
              <a:latin typeface="Arial" panose="020B0604020202020204" pitchFamily="34" charset="0"/>
            </a:rPr>
            <a:t>Note: (vertical) y-axis does not start at 0.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 kern="1200">
              <a:latin typeface="Arial" panose="020B0604020202020204" pitchFamily="34" charset="0"/>
            </a:rPr>
            <a:t>Source:</a:t>
          </a:r>
          <a:r>
            <a:rPr lang="en-IE" sz="1200" kern="1200">
              <a:latin typeface="Arial" panose="020B0604020202020204" pitchFamily="34" charset="0"/>
            </a:rPr>
            <a:t> Eurostat (online data code: sts_copr_m)</a:t>
          </a:r>
        </a:p>
      </cdr:txBody>
    </cdr:sp>
  </cdr:absSizeAnchor>
  <cdr:absSizeAnchor xmlns:cdr="http://schemas.openxmlformats.org/drawingml/2006/chartDrawing">
    <cdr:from>
      <cdr:x>0.83936</cdr:x>
      <cdr:y>0.9288</cdr:y>
    </cdr:from>
    <cdr:ext cx="1530099" cy="420624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1B673CC0-7A19-1C58-C801-9CD236151FB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87157"/>
          <a:ext cx="1530099" cy="420624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databrowser/view/sts_copr_m__custom_18502880/bookmark/table?lang=en&amp;bookmarkId=4f32e90c-fcb2-4839-9508-08434d79a88d&amp;c=176104850700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bookmark/4f32e90c-fcb2-4839-9508-08434d79a88d?lang=en&amp;createdAt=2025-10-21T12:08:27Z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c.europa.eu/eurostat/databrowser/bookmark/9fdf041d-6be9-4bbe-82b6-1639b047b119?lang=en&amp;createdAt=2025-10-21T12:16:26Z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c.europa.eu/eurostat/databrowser/bookmark/9fdf041d-6be9-4bbe-82b6-1639b047b119?lang=en&amp;createdAt=2025-10-21T12:16:26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53"/>
  <sheetViews>
    <sheetView showGridLines="0" topLeftCell="A15" zoomScaleNormal="100" workbookViewId="0">
      <selection activeCell="B26" sqref="B26"/>
    </sheetView>
  </sheetViews>
  <sheetFormatPr defaultColWidth="8.58203125" defaultRowHeight="12.5" x14ac:dyDescent="0.25"/>
  <cols>
    <col min="1" max="1" width="9.5" style="4" customWidth="1"/>
    <col min="2" max="16384" width="8.58203125" style="4"/>
  </cols>
  <sheetData>
    <row r="1" spans="1:129" x14ac:dyDescent="0.25">
      <c r="A1" s="3" t="s">
        <v>0</v>
      </c>
    </row>
    <row r="2" spans="1:129" ht="14.5" customHeight="1" x14ac:dyDescent="0.25"/>
    <row r="3" spans="1:129" x14ac:dyDescent="0.25">
      <c r="A3" s="3" t="s">
        <v>1</v>
      </c>
      <c r="B3" s="5" t="s">
        <v>182</v>
      </c>
    </row>
    <row r="4" spans="1:129" x14ac:dyDescent="0.25">
      <c r="A4" s="3" t="s">
        <v>2</v>
      </c>
      <c r="B4" s="5" t="s">
        <v>182</v>
      </c>
    </row>
    <row r="5" spans="1:129" x14ac:dyDescent="0.25">
      <c r="A5" s="3" t="s">
        <v>3</v>
      </c>
      <c r="B5" s="3" t="s">
        <v>4</v>
      </c>
    </row>
    <row r="7" spans="1:129" x14ac:dyDescent="0.25">
      <c r="A7" s="3" t="s">
        <v>5</v>
      </c>
      <c r="B7" s="3" t="s">
        <v>6</v>
      </c>
    </row>
    <row r="8" spans="1:129" x14ac:dyDescent="0.25">
      <c r="A8" s="3" t="s">
        <v>7</v>
      </c>
      <c r="B8" s="3" t="s">
        <v>8</v>
      </c>
    </row>
    <row r="9" spans="1:129" x14ac:dyDescent="0.25">
      <c r="A9" s="3" t="s">
        <v>9</v>
      </c>
      <c r="B9" s="3" t="s">
        <v>10</v>
      </c>
    </row>
    <row r="10" spans="1:129" x14ac:dyDescent="0.25">
      <c r="A10" s="3" t="s">
        <v>11</v>
      </c>
      <c r="B10" s="3" t="s">
        <v>166</v>
      </c>
    </row>
    <row r="12" spans="1:129" x14ac:dyDescent="0.25">
      <c r="A12" s="6"/>
      <c r="B12" s="6">
        <v>2015</v>
      </c>
      <c r="C12" s="6" t="s">
        <v>12</v>
      </c>
      <c r="D12" s="6" t="s">
        <v>13</v>
      </c>
      <c r="E12" s="6" t="s">
        <v>14</v>
      </c>
      <c r="F12" s="6" t="s">
        <v>15</v>
      </c>
      <c r="G12" s="6" t="s">
        <v>16</v>
      </c>
      <c r="H12" s="6" t="s">
        <v>17</v>
      </c>
      <c r="I12" s="6" t="s">
        <v>18</v>
      </c>
      <c r="J12" s="6" t="s">
        <v>19</v>
      </c>
      <c r="K12" s="6" t="s">
        <v>20</v>
      </c>
      <c r="L12" s="6" t="s">
        <v>21</v>
      </c>
      <c r="M12" s="6" t="s">
        <v>22</v>
      </c>
      <c r="N12" s="6">
        <v>2016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  <c r="T12" s="6" t="s">
        <v>28</v>
      </c>
      <c r="U12" s="6" t="s">
        <v>29</v>
      </c>
      <c r="V12" s="6" t="s">
        <v>30</v>
      </c>
      <c r="W12" s="6" t="s">
        <v>31</v>
      </c>
      <c r="X12" s="6" t="s">
        <v>32</v>
      </c>
      <c r="Y12" s="6" t="s">
        <v>33</v>
      </c>
      <c r="Z12" s="6">
        <v>2017</v>
      </c>
      <c r="AA12" s="6" t="s">
        <v>34</v>
      </c>
      <c r="AB12" s="6" t="s">
        <v>35</v>
      </c>
      <c r="AC12" s="6" t="s">
        <v>36</v>
      </c>
      <c r="AD12" s="6" t="s">
        <v>37</v>
      </c>
      <c r="AE12" s="6" t="s">
        <v>38</v>
      </c>
      <c r="AF12" s="6" t="s">
        <v>39</v>
      </c>
      <c r="AG12" s="6" t="s">
        <v>40</v>
      </c>
      <c r="AH12" s="6" t="s">
        <v>41</v>
      </c>
      <c r="AI12" s="6" t="s">
        <v>42</v>
      </c>
      <c r="AJ12" s="6" t="s">
        <v>43</v>
      </c>
      <c r="AK12" s="6" t="s">
        <v>44</v>
      </c>
      <c r="AL12" s="6">
        <v>2018</v>
      </c>
      <c r="AM12" s="6" t="s">
        <v>85</v>
      </c>
      <c r="AN12" s="6" t="s">
        <v>86</v>
      </c>
      <c r="AO12" s="6" t="s">
        <v>87</v>
      </c>
      <c r="AP12" s="6" t="s">
        <v>88</v>
      </c>
      <c r="AQ12" s="6" t="s">
        <v>89</v>
      </c>
      <c r="AR12" s="6" t="s">
        <v>90</v>
      </c>
      <c r="AS12" s="6" t="s">
        <v>91</v>
      </c>
      <c r="AT12" s="6" t="s">
        <v>92</v>
      </c>
      <c r="AU12" s="6" t="s">
        <v>93</v>
      </c>
      <c r="AV12" s="6" t="s">
        <v>94</v>
      </c>
      <c r="AW12" s="6" t="s">
        <v>95</v>
      </c>
      <c r="AX12" s="6">
        <v>2019</v>
      </c>
      <c r="AY12" s="6" t="s">
        <v>96</v>
      </c>
      <c r="AZ12" s="6" t="s">
        <v>97</v>
      </c>
      <c r="BA12" s="6" t="s">
        <v>98</v>
      </c>
      <c r="BB12" s="6" t="s">
        <v>99</v>
      </c>
      <c r="BC12" s="6" t="s">
        <v>100</v>
      </c>
      <c r="BD12" s="6" t="s">
        <v>101</v>
      </c>
      <c r="BE12" s="6" t="s">
        <v>102</v>
      </c>
      <c r="BF12" s="6" t="s">
        <v>103</v>
      </c>
      <c r="BG12" s="6" t="s">
        <v>104</v>
      </c>
      <c r="BH12" s="6" t="s">
        <v>105</v>
      </c>
      <c r="BI12" s="6" t="s">
        <v>106</v>
      </c>
      <c r="BJ12" s="6">
        <v>2020</v>
      </c>
      <c r="BK12" s="6" t="s">
        <v>109</v>
      </c>
      <c r="BL12" s="6" t="s">
        <v>110</v>
      </c>
      <c r="BM12" s="6" t="s">
        <v>111</v>
      </c>
      <c r="BN12" s="6" t="s">
        <v>112</v>
      </c>
      <c r="BO12" s="6" t="s">
        <v>113</v>
      </c>
      <c r="BP12" s="6" t="s">
        <v>114</v>
      </c>
      <c r="BQ12" s="6" t="s">
        <v>115</v>
      </c>
      <c r="BR12" s="6" t="s">
        <v>118</v>
      </c>
      <c r="BS12" s="6" t="s">
        <v>119</v>
      </c>
      <c r="BT12" s="6" t="s">
        <v>120</v>
      </c>
      <c r="BU12" s="6" t="s">
        <v>121</v>
      </c>
      <c r="BV12" s="6">
        <v>2021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130</v>
      </c>
      <c r="CE12" s="6" t="s">
        <v>131</v>
      </c>
      <c r="CF12" s="6" t="s">
        <v>132</v>
      </c>
      <c r="CG12" s="6" t="s">
        <v>133</v>
      </c>
      <c r="CH12" s="6">
        <v>2022</v>
      </c>
      <c r="CI12" s="6" t="s">
        <v>134</v>
      </c>
      <c r="CJ12" s="6" t="s">
        <v>135</v>
      </c>
      <c r="CK12" s="6" t="s">
        <v>136</v>
      </c>
      <c r="CL12" s="6" t="s">
        <v>137</v>
      </c>
      <c r="CM12" s="6" t="s">
        <v>138</v>
      </c>
      <c r="CN12" s="6" t="s">
        <v>139</v>
      </c>
      <c r="CO12" s="6" t="s">
        <v>140</v>
      </c>
      <c r="CP12" s="6" t="s">
        <v>141</v>
      </c>
      <c r="CQ12" s="6" t="s">
        <v>142</v>
      </c>
      <c r="CR12" s="6" t="s">
        <v>143</v>
      </c>
      <c r="CS12" s="6" t="s">
        <v>144</v>
      </c>
      <c r="CT12" s="6">
        <v>2023</v>
      </c>
      <c r="CU12" s="6" t="s">
        <v>145</v>
      </c>
      <c r="CV12" s="6" t="s">
        <v>146</v>
      </c>
      <c r="CW12" s="6" t="s">
        <v>147</v>
      </c>
      <c r="CX12" s="6" t="s">
        <v>148</v>
      </c>
      <c r="CY12" s="6" t="s">
        <v>149</v>
      </c>
      <c r="CZ12" s="6" t="s">
        <v>150</v>
      </c>
      <c r="DA12" s="6" t="s">
        <v>151</v>
      </c>
      <c r="DB12" s="6" t="s">
        <v>155</v>
      </c>
      <c r="DC12" s="6" t="s">
        <v>156</v>
      </c>
      <c r="DD12" s="6" t="s">
        <v>157</v>
      </c>
      <c r="DE12" s="6" t="s">
        <v>158</v>
      </c>
      <c r="DF12" s="6">
        <v>2024</v>
      </c>
      <c r="DG12" s="6" t="s">
        <v>159</v>
      </c>
      <c r="DH12" s="6" t="s">
        <v>160</v>
      </c>
      <c r="DI12" s="6" t="s">
        <v>161</v>
      </c>
      <c r="DJ12" s="6" t="s">
        <v>162</v>
      </c>
      <c r="DK12" s="6" t="s">
        <v>163</v>
      </c>
      <c r="DL12" s="6" t="s">
        <v>164</v>
      </c>
      <c r="DM12" s="6" t="s">
        <v>165</v>
      </c>
      <c r="DN12" s="6" t="s">
        <v>171</v>
      </c>
      <c r="DO12" s="6" t="s">
        <v>172</v>
      </c>
      <c r="DP12" s="6" t="s">
        <v>173</v>
      </c>
      <c r="DQ12" s="6" t="s">
        <v>174</v>
      </c>
      <c r="DR12" s="6">
        <v>2025</v>
      </c>
      <c r="DS12" s="6" t="s">
        <v>175</v>
      </c>
      <c r="DT12" s="6" t="s">
        <v>176</v>
      </c>
      <c r="DU12" s="6" t="s">
        <v>177</v>
      </c>
      <c r="DV12" s="6" t="s">
        <v>178</v>
      </c>
      <c r="DW12" s="6" t="s">
        <v>179</v>
      </c>
      <c r="DX12" s="6" t="s">
        <v>180</v>
      </c>
      <c r="DY12" s="6" t="s">
        <v>181</v>
      </c>
    </row>
    <row r="13" spans="1:129" x14ac:dyDescent="0.25">
      <c r="A13" s="6" t="s">
        <v>117</v>
      </c>
      <c r="B13" s="53">
        <v>92.2</v>
      </c>
      <c r="C13" s="53">
        <v>90.6</v>
      </c>
      <c r="D13" s="53">
        <v>92.8</v>
      </c>
      <c r="E13" s="54">
        <v>92</v>
      </c>
      <c r="F13" s="53">
        <v>92.2</v>
      </c>
      <c r="G13" s="53">
        <v>92.3</v>
      </c>
      <c r="H13" s="53">
        <v>91.4</v>
      </c>
      <c r="I13" s="53">
        <v>91.9</v>
      </c>
      <c r="J13" s="53">
        <v>92.2</v>
      </c>
      <c r="K13" s="53">
        <v>92.3</v>
      </c>
      <c r="L13" s="53">
        <v>93.4</v>
      </c>
      <c r="M13" s="53">
        <v>93.2</v>
      </c>
      <c r="N13" s="53">
        <v>93.9</v>
      </c>
      <c r="O13" s="53">
        <v>92.6</v>
      </c>
      <c r="P13" s="53">
        <v>92.5</v>
      </c>
      <c r="Q13" s="54">
        <v>93</v>
      </c>
      <c r="R13" s="54">
        <v>93</v>
      </c>
      <c r="S13" s="53">
        <v>93.1</v>
      </c>
      <c r="T13" s="53">
        <v>93.8</v>
      </c>
      <c r="U13" s="54">
        <v>95</v>
      </c>
      <c r="V13" s="53">
        <v>94.4</v>
      </c>
      <c r="W13" s="53">
        <v>94.5</v>
      </c>
      <c r="X13" s="53">
        <v>95.4</v>
      </c>
      <c r="Y13" s="53">
        <v>95.6</v>
      </c>
      <c r="Z13" s="53">
        <v>93.6</v>
      </c>
      <c r="AA13" s="53">
        <v>96.5</v>
      </c>
      <c r="AB13" s="53">
        <v>97.7</v>
      </c>
      <c r="AC13" s="53">
        <v>97.9</v>
      </c>
      <c r="AD13" s="53">
        <v>98.5</v>
      </c>
      <c r="AE13" s="53">
        <v>98.2</v>
      </c>
      <c r="AF13" s="53">
        <v>98.4</v>
      </c>
      <c r="AG13" s="53">
        <v>99.1</v>
      </c>
      <c r="AH13" s="53">
        <v>98.3</v>
      </c>
      <c r="AI13" s="53">
        <v>99.7</v>
      </c>
      <c r="AJ13" s="53">
        <v>99.8</v>
      </c>
      <c r="AK13" s="53">
        <v>100.8</v>
      </c>
      <c r="AL13" s="53">
        <v>99.1</v>
      </c>
      <c r="AM13" s="53">
        <v>96.9</v>
      </c>
      <c r="AN13" s="54">
        <v>96</v>
      </c>
      <c r="AO13" s="53">
        <v>98.7</v>
      </c>
      <c r="AP13" s="53">
        <v>98.8</v>
      </c>
      <c r="AQ13" s="53">
        <v>100.2</v>
      </c>
      <c r="AR13" s="53">
        <v>100.4</v>
      </c>
      <c r="AS13" s="53">
        <v>100.8</v>
      </c>
      <c r="AT13" s="53">
        <v>101.4</v>
      </c>
      <c r="AU13" s="53">
        <v>100.7</v>
      </c>
      <c r="AV13" s="54">
        <v>101</v>
      </c>
      <c r="AW13" s="53">
        <v>102.6</v>
      </c>
      <c r="AX13" s="53">
        <v>99.6</v>
      </c>
      <c r="AY13" s="53">
        <v>102.8</v>
      </c>
      <c r="AZ13" s="54">
        <v>103</v>
      </c>
      <c r="BA13" s="53">
        <v>102.8</v>
      </c>
      <c r="BB13" s="53">
        <v>101.9</v>
      </c>
      <c r="BC13" s="54">
        <v>102</v>
      </c>
      <c r="BD13" s="53">
        <v>102.4</v>
      </c>
      <c r="BE13" s="54">
        <v>102</v>
      </c>
      <c r="BF13" s="53">
        <v>102.6</v>
      </c>
      <c r="BG13" s="53">
        <v>101.7</v>
      </c>
      <c r="BH13" s="53">
        <v>101.9</v>
      </c>
      <c r="BI13" s="53">
        <v>101.5</v>
      </c>
      <c r="BJ13" s="54">
        <v>104</v>
      </c>
      <c r="BK13" s="53">
        <v>103.2</v>
      </c>
      <c r="BL13" s="53">
        <v>88.9</v>
      </c>
      <c r="BM13" s="53">
        <v>75.599999999999994</v>
      </c>
      <c r="BN13" s="53">
        <v>91.5</v>
      </c>
      <c r="BO13" s="53">
        <v>97.1</v>
      </c>
      <c r="BP13" s="53">
        <v>97.8</v>
      </c>
      <c r="BQ13" s="53">
        <v>100.5</v>
      </c>
      <c r="BR13" s="53">
        <v>99.1</v>
      </c>
      <c r="BS13" s="53">
        <v>98.7</v>
      </c>
      <c r="BT13" s="53">
        <v>99.9</v>
      </c>
      <c r="BU13" s="53">
        <v>101.3</v>
      </c>
      <c r="BV13" s="53">
        <v>98.4</v>
      </c>
      <c r="BW13" s="53">
        <v>95.9</v>
      </c>
      <c r="BX13" s="53">
        <v>100.2</v>
      </c>
      <c r="BY13" s="53">
        <v>100.3</v>
      </c>
      <c r="BZ13" s="53">
        <v>100.3</v>
      </c>
      <c r="CA13" s="53">
        <v>100.7</v>
      </c>
      <c r="CB13" s="53">
        <v>100.3</v>
      </c>
      <c r="CC13" s="53">
        <v>99.5</v>
      </c>
      <c r="CD13" s="53">
        <v>100.9</v>
      </c>
      <c r="CE13" s="53">
        <v>101.3</v>
      </c>
      <c r="CF13" s="53">
        <v>101.6</v>
      </c>
      <c r="CG13" s="53">
        <v>100.6</v>
      </c>
      <c r="CH13" s="53">
        <v>103.2</v>
      </c>
      <c r="CI13" s="53">
        <v>103.7</v>
      </c>
      <c r="CJ13" s="53">
        <v>103.9</v>
      </c>
      <c r="CK13" s="53">
        <v>102.7</v>
      </c>
      <c r="CL13" s="53">
        <v>103.2</v>
      </c>
      <c r="CM13" s="53">
        <v>102.6</v>
      </c>
      <c r="CN13" s="53">
        <v>101.6</v>
      </c>
      <c r="CO13" s="53">
        <v>102.3</v>
      </c>
      <c r="CP13" s="53">
        <v>101.9</v>
      </c>
      <c r="CQ13" s="53">
        <v>102.8</v>
      </c>
      <c r="CR13" s="54">
        <v>103</v>
      </c>
      <c r="CS13" s="53">
        <v>100.8</v>
      </c>
      <c r="CT13" s="54">
        <v>104</v>
      </c>
      <c r="CU13" s="53">
        <v>105.4</v>
      </c>
      <c r="CV13" s="53">
        <v>104.3</v>
      </c>
      <c r="CW13" s="53">
        <v>103.6</v>
      </c>
      <c r="CX13" s="53">
        <v>104.5</v>
      </c>
      <c r="CY13" s="53">
        <v>104.2</v>
      </c>
      <c r="CZ13" s="53">
        <v>104.5</v>
      </c>
      <c r="DA13" s="53">
        <v>104.1</v>
      </c>
      <c r="DB13" s="53">
        <v>104.5</v>
      </c>
      <c r="DC13" s="54">
        <v>104</v>
      </c>
      <c r="DD13" s="53">
        <v>103.3</v>
      </c>
      <c r="DE13" s="53">
        <v>104.3</v>
      </c>
      <c r="DF13" s="54">
        <v>103</v>
      </c>
      <c r="DG13" s="53">
        <v>103.2</v>
      </c>
      <c r="DH13" s="53">
        <v>103.1</v>
      </c>
      <c r="DI13" s="53">
        <v>102.4</v>
      </c>
      <c r="DJ13" s="53">
        <v>101.7</v>
      </c>
      <c r="DK13" s="53">
        <v>102.2</v>
      </c>
      <c r="DL13" s="53">
        <v>101.9</v>
      </c>
      <c r="DM13" s="53">
        <v>102.6</v>
      </c>
      <c r="DN13" s="53">
        <v>101.9</v>
      </c>
      <c r="DO13" s="53">
        <v>101.8</v>
      </c>
      <c r="DP13" s="53">
        <v>103.1</v>
      </c>
      <c r="DQ13" s="53">
        <v>103.6</v>
      </c>
      <c r="DR13" s="53">
        <v>103.9</v>
      </c>
      <c r="DS13" s="53">
        <v>102.8</v>
      </c>
      <c r="DT13" s="53">
        <v>102.7</v>
      </c>
      <c r="DU13" s="53">
        <v>103.4</v>
      </c>
      <c r="DV13" s="53">
        <v>102.2</v>
      </c>
      <c r="DW13" s="53">
        <v>102.5</v>
      </c>
      <c r="DX13" s="53">
        <v>103.4</v>
      </c>
      <c r="DY13" s="53">
        <v>102.5</v>
      </c>
    </row>
    <row r="14" spans="1:129" x14ac:dyDescent="0.25">
      <c r="A14" s="6" t="s">
        <v>152</v>
      </c>
      <c r="B14" s="53">
        <v>94.7</v>
      </c>
      <c r="C14" s="53">
        <v>92.4</v>
      </c>
      <c r="D14" s="53">
        <v>94.9</v>
      </c>
      <c r="E14" s="54">
        <v>94</v>
      </c>
      <c r="F14" s="53">
        <v>94.4</v>
      </c>
      <c r="G14" s="53">
        <v>94.4</v>
      </c>
      <c r="H14" s="53">
        <v>93.7</v>
      </c>
      <c r="I14" s="53">
        <v>93.8</v>
      </c>
      <c r="J14" s="53">
        <v>94.1</v>
      </c>
      <c r="K14" s="53">
        <v>94.2</v>
      </c>
      <c r="L14" s="53">
        <v>95.3</v>
      </c>
      <c r="M14" s="53">
        <v>95.1</v>
      </c>
      <c r="N14" s="54">
        <v>97</v>
      </c>
      <c r="O14" s="53">
        <v>95.4</v>
      </c>
      <c r="P14" s="53">
        <v>95.5</v>
      </c>
      <c r="Q14" s="53">
        <v>95.9</v>
      </c>
      <c r="R14" s="53">
        <v>95.8</v>
      </c>
      <c r="S14" s="53">
        <v>96.2</v>
      </c>
      <c r="T14" s="53">
        <v>96.8</v>
      </c>
      <c r="U14" s="53">
        <v>98.6</v>
      </c>
      <c r="V14" s="53">
        <v>97.4</v>
      </c>
      <c r="W14" s="53">
        <v>97.3</v>
      </c>
      <c r="X14" s="53">
        <v>98.4</v>
      </c>
      <c r="Y14" s="53">
        <v>98.6</v>
      </c>
      <c r="Z14" s="53">
        <v>96.2</v>
      </c>
      <c r="AA14" s="53">
        <v>99.8</v>
      </c>
      <c r="AB14" s="53">
        <v>100.6</v>
      </c>
      <c r="AC14" s="53">
        <v>100.6</v>
      </c>
      <c r="AD14" s="53">
        <v>101.3</v>
      </c>
      <c r="AE14" s="53">
        <v>100.8</v>
      </c>
      <c r="AF14" s="53">
        <v>100.7</v>
      </c>
      <c r="AG14" s="53">
        <v>101.5</v>
      </c>
      <c r="AH14" s="53">
        <v>100.6</v>
      </c>
      <c r="AI14" s="53">
        <v>102.1</v>
      </c>
      <c r="AJ14" s="53">
        <v>101.9</v>
      </c>
      <c r="AK14" s="53">
        <v>102.7</v>
      </c>
      <c r="AL14" s="53">
        <v>100.5</v>
      </c>
      <c r="AM14" s="53">
        <v>98.2</v>
      </c>
      <c r="AN14" s="53">
        <v>97.6</v>
      </c>
      <c r="AO14" s="53">
        <v>100.8</v>
      </c>
      <c r="AP14" s="53">
        <v>100.2</v>
      </c>
      <c r="AQ14" s="53">
        <v>101.3</v>
      </c>
      <c r="AR14" s="53">
        <v>101.7</v>
      </c>
      <c r="AS14" s="53">
        <v>101.9</v>
      </c>
      <c r="AT14" s="53">
        <v>102.6</v>
      </c>
      <c r="AU14" s="53">
        <v>101.8</v>
      </c>
      <c r="AV14" s="54">
        <v>102</v>
      </c>
      <c r="AW14" s="53">
        <v>103.8</v>
      </c>
      <c r="AX14" s="53">
        <v>100.5</v>
      </c>
      <c r="AY14" s="53">
        <v>103.6</v>
      </c>
      <c r="AZ14" s="53">
        <v>103.8</v>
      </c>
      <c r="BA14" s="53">
        <v>103.5</v>
      </c>
      <c r="BB14" s="53">
        <v>102.7</v>
      </c>
      <c r="BC14" s="54">
        <v>103</v>
      </c>
      <c r="BD14" s="53">
        <v>102.8</v>
      </c>
      <c r="BE14" s="53">
        <v>102.5</v>
      </c>
      <c r="BF14" s="53">
        <v>103.2</v>
      </c>
      <c r="BG14" s="53">
        <v>102.4</v>
      </c>
      <c r="BH14" s="53">
        <v>102.6</v>
      </c>
      <c r="BI14" s="53">
        <v>102.3</v>
      </c>
      <c r="BJ14" s="53">
        <v>104.7</v>
      </c>
      <c r="BK14" s="53">
        <v>103.3</v>
      </c>
      <c r="BL14" s="53">
        <v>86.8</v>
      </c>
      <c r="BM14" s="53">
        <v>71.099999999999994</v>
      </c>
      <c r="BN14" s="53">
        <v>90.4</v>
      </c>
      <c r="BO14" s="53">
        <v>97.4</v>
      </c>
      <c r="BP14" s="53">
        <v>98.4</v>
      </c>
      <c r="BQ14" s="53">
        <v>101.2</v>
      </c>
      <c r="BR14" s="53">
        <v>99.3</v>
      </c>
      <c r="BS14" s="53">
        <v>99.1</v>
      </c>
      <c r="BT14" s="53">
        <v>100.5</v>
      </c>
      <c r="BU14" s="53">
        <v>102.2</v>
      </c>
      <c r="BV14" s="53">
        <v>98.5</v>
      </c>
      <c r="BW14" s="53">
        <v>96.1</v>
      </c>
      <c r="BX14" s="53">
        <v>100.9</v>
      </c>
      <c r="BY14" s="53">
        <v>100.3</v>
      </c>
      <c r="BZ14" s="53">
        <v>100.3</v>
      </c>
      <c r="CA14" s="53">
        <v>100.4</v>
      </c>
      <c r="CB14" s="53">
        <v>99.9</v>
      </c>
      <c r="CC14" s="53">
        <v>99.6</v>
      </c>
      <c r="CD14" s="54">
        <v>101</v>
      </c>
      <c r="CE14" s="53">
        <v>101.3</v>
      </c>
      <c r="CF14" s="53">
        <v>101.3</v>
      </c>
      <c r="CG14" s="53">
        <v>100.3</v>
      </c>
      <c r="CH14" s="53">
        <v>102.6</v>
      </c>
      <c r="CI14" s="53">
        <v>103.3</v>
      </c>
      <c r="CJ14" s="53">
        <v>103.2</v>
      </c>
      <c r="CK14" s="53">
        <v>102.2</v>
      </c>
      <c r="CL14" s="53">
        <v>102.5</v>
      </c>
      <c r="CM14" s="53">
        <v>102.2</v>
      </c>
      <c r="CN14" s="53">
        <v>101.1</v>
      </c>
      <c r="CO14" s="53">
        <v>102.1</v>
      </c>
      <c r="CP14" s="53">
        <v>101.6</v>
      </c>
      <c r="CQ14" s="53">
        <v>102.3</v>
      </c>
      <c r="CR14" s="53">
        <v>102.4</v>
      </c>
      <c r="CS14" s="53">
        <v>100.2</v>
      </c>
      <c r="CT14" s="53">
        <v>103.4</v>
      </c>
      <c r="CU14" s="53">
        <v>105.3</v>
      </c>
      <c r="CV14" s="53">
        <v>103.9</v>
      </c>
      <c r="CW14" s="53">
        <v>103.6</v>
      </c>
      <c r="CX14" s="53">
        <v>104.6</v>
      </c>
      <c r="CY14" s="53">
        <v>104.2</v>
      </c>
      <c r="CZ14" s="53">
        <v>104.5</v>
      </c>
      <c r="DA14" s="54">
        <v>104</v>
      </c>
      <c r="DB14" s="53">
        <v>104.3</v>
      </c>
      <c r="DC14" s="53">
        <v>103.7</v>
      </c>
      <c r="DD14" s="53">
        <v>103.1</v>
      </c>
      <c r="DE14" s="53">
        <v>103.3</v>
      </c>
      <c r="DF14" s="53">
        <v>103.6</v>
      </c>
      <c r="DG14" s="53">
        <v>103.5</v>
      </c>
      <c r="DH14" s="53">
        <v>103.6</v>
      </c>
      <c r="DI14" s="53">
        <v>102.4</v>
      </c>
      <c r="DJ14" s="54">
        <v>102</v>
      </c>
      <c r="DK14" s="53">
        <v>102.5</v>
      </c>
      <c r="DL14" s="54">
        <v>102</v>
      </c>
      <c r="DM14" s="53">
        <v>102.6</v>
      </c>
      <c r="DN14" s="53">
        <v>102.1</v>
      </c>
      <c r="DO14" s="53">
        <v>102.1</v>
      </c>
      <c r="DP14" s="53">
        <v>103.3</v>
      </c>
      <c r="DQ14" s="53">
        <v>103.4</v>
      </c>
      <c r="DR14" s="54">
        <v>104</v>
      </c>
      <c r="DS14" s="53">
        <v>102.9</v>
      </c>
      <c r="DT14" s="53">
        <v>102.7</v>
      </c>
      <c r="DU14" s="53">
        <v>103.6</v>
      </c>
      <c r="DV14" s="53">
        <v>102.2</v>
      </c>
      <c r="DW14" s="53">
        <v>102.3</v>
      </c>
      <c r="DX14" s="53">
        <v>102.8</v>
      </c>
      <c r="DY14" s="53">
        <v>102.7</v>
      </c>
    </row>
    <row r="15" spans="1:129" x14ac:dyDescent="0.25">
      <c r="B15" s="53"/>
      <c r="C15" s="53"/>
      <c r="D15" s="53"/>
      <c r="E15" s="54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4"/>
      <c r="R15" s="54"/>
      <c r="S15" s="53"/>
      <c r="T15" s="53"/>
      <c r="U15" s="54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4"/>
      <c r="AO15" s="53"/>
      <c r="AP15" s="53"/>
      <c r="AQ15" s="53"/>
      <c r="AR15" s="53"/>
      <c r="AS15" s="53"/>
      <c r="AT15" s="53"/>
      <c r="AU15" s="53"/>
      <c r="AV15" s="54"/>
      <c r="AW15" s="53"/>
      <c r="AX15" s="53"/>
      <c r="AY15" s="53"/>
      <c r="AZ15" s="54"/>
      <c r="BA15" s="53"/>
      <c r="BB15" s="53"/>
      <c r="BC15" s="54"/>
      <c r="BD15" s="53"/>
      <c r="BE15" s="54"/>
      <c r="BF15" s="53"/>
      <c r="BG15" s="53"/>
      <c r="BH15" s="53"/>
      <c r="BI15" s="53"/>
      <c r="BJ15" s="54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4"/>
      <c r="CS15" s="53"/>
      <c r="CT15" s="54"/>
      <c r="CU15" s="53"/>
      <c r="CV15" s="53"/>
      <c r="CW15" s="53"/>
      <c r="CX15" s="53"/>
      <c r="CY15" s="53"/>
      <c r="CZ15" s="53"/>
      <c r="DA15" s="53"/>
      <c r="DB15" s="53"/>
      <c r="DC15" s="54"/>
      <c r="DD15" s="53"/>
      <c r="DE15" s="53"/>
      <c r="DF15" s="54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</row>
    <row r="16" spans="1:129" x14ac:dyDescent="0.25">
      <c r="BL16" s="7" t="s">
        <v>84</v>
      </c>
      <c r="BM16" s="7">
        <f>BM13-BK13</f>
        <v>-27.600000000000009</v>
      </c>
      <c r="DY16" s="58">
        <f>(DY13/DX13-1)*100</f>
        <v>-0.8704061895551285</v>
      </c>
    </row>
    <row r="17" spans="1:129" ht="13" x14ac:dyDescent="0.3">
      <c r="A17" s="8" t="s">
        <v>189</v>
      </c>
      <c r="DY17" s="58">
        <f>(DY14/DX14-1)*100</f>
        <v>-9.7276264591439343E-2</v>
      </c>
    </row>
    <row r="18" spans="1:129" x14ac:dyDescent="0.25">
      <c r="A18" s="9" t="s">
        <v>188</v>
      </c>
    </row>
    <row r="20" spans="1:129" x14ac:dyDescent="0.25">
      <c r="A20" s="4" t="s">
        <v>170</v>
      </c>
    </row>
    <row r="21" spans="1:129" ht="13" x14ac:dyDescent="0.3">
      <c r="A21" s="10" t="s">
        <v>153</v>
      </c>
    </row>
    <row r="22" spans="1:129" ht="14" x14ac:dyDescent="0.3">
      <c r="A22" s="110" t="s">
        <v>196</v>
      </c>
      <c r="B22" s="107"/>
    </row>
    <row r="23" spans="1:129" ht="14" x14ac:dyDescent="0.3">
      <c r="A23" s="4" t="s">
        <v>197</v>
      </c>
      <c r="B23" s="107" t="s">
        <v>198</v>
      </c>
    </row>
    <row r="52" s="4" customFormat="1" ht="72.650000000000006" customHeight="1" x14ac:dyDescent="0.25"/>
    <row r="53" s="4" customFormat="1" ht="14.5" customHeight="1" x14ac:dyDescent="0.25"/>
  </sheetData>
  <phoneticPr fontId="6" type="noConversion"/>
  <hyperlinks>
    <hyperlink ref="B23" r:id="rId1" xr:uid="{AB32D82A-914C-4629-A75E-C458E9F03ADF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Y48"/>
  <sheetViews>
    <sheetView showGridLines="0" topLeftCell="A14" zoomScaleNormal="100" workbookViewId="0">
      <selection activeCell="A25" sqref="A25"/>
    </sheetView>
  </sheetViews>
  <sheetFormatPr defaultColWidth="9" defaultRowHeight="12.5" x14ac:dyDescent="0.25"/>
  <cols>
    <col min="1" max="1" width="15" style="4" customWidth="1"/>
    <col min="2" max="16384" width="9" style="4"/>
  </cols>
  <sheetData>
    <row r="1" spans="1:129" x14ac:dyDescent="0.25">
      <c r="A1" s="3" t="s">
        <v>0</v>
      </c>
    </row>
    <row r="3" spans="1:129" x14ac:dyDescent="0.25">
      <c r="A3" s="3" t="s">
        <v>1</v>
      </c>
      <c r="B3" s="5" t="s">
        <v>182</v>
      </c>
    </row>
    <row r="4" spans="1:129" x14ac:dyDescent="0.25">
      <c r="A4" s="3" t="s">
        <v>2</v>
      </c>
      <c r="B4" s="5" t="s">
        <v>182</v>
      </c>
    </row>
    <row r="5" spans="1:129" x14ac:dyDescent="0.25">
      <c r="A5" s="3" t="s">
        <v>3</v>
      </c>
      <c r="B5" s="3" t="s">
        <v>4</v>
      </c>
    </row>
    <row r="7" spans="1:129" x14ac:dyDescent="0.25">
      <c r="A7" s="3" t="s">
        <v>5</v>
      </c>
      <c r="B7" s="3" t="s">
        <v>116</v>
      </c>
    </row>
    <row r="8" spans="1:129" x14ac:dyDescent="0.25">
      <c r="A8" s="3" t="s">
        <v>7</v>
      </c>
      <c r="B8" s="3" t="s">
        <v>168</v>
      </c>
    </row>
    <row r="9" spans="1:129" x14ac:dyDescent="0.25">
      <c r="A9" s="3" t="s">
        <v>9</v>
      </c>
      <c r="B9" s="3" t="s">
        <v>10</v>
      </c>
    </row>
    <row r="10" spans="1:129" x14ac:dyDescent="0.25">
      <c r="A10" s="3" t="s">
        <v>11</v>
      </c>
      <c r="B10" s="3" t="s">
        <v>166</v>
      </c>
    </row>
    <row r="12" spans="1:129" x14ac:dyDescent="0.25">
      <c r="A12" s="6"/>
      <c r="B12" s="6">
        <v>2015</v>
      </c>
      <c r="C12" s="6" t="s">
        <v>12</v>
      </c>
      <c r="D12" s="6" t="s">
        <v>13</v>
      </c>
      <c r="E12" s="6" t="s">
        <v>14</v>
      </c>
      <c r="F12" s="6" t="s">
        <v>15</v>
      </c>
      <c r="G12" s="6" t="s">
        <v>16</v>
      </c>
      <c r="H12" s="6" t="s">
        <v>17</v>
      </c>
      <c r="I12" s="6" t="s">
        <v>18</v>
      </c>
      <c r="J12" s="6" t="s">
        <v>19</v>
      </c>
      <c r="K12" s="6" t="s">
        <v>20</v>
      </c>
      <c r="L12" s="6" t="s">
        <v>21</v>
      </c>
      <c r="M12" s="6" t="s">
        <v>22</v>
      </c>
      <c r="N12" s="6">
        <v>2016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  <c r="T12" s="6" t="s">
        <v>28</v>
      </c>
      <c r="U12" s="6" t="s">
        <v>29</v>
      </c>
      <c r="V12" s="6" t="s">
        <v>30</v>
      </c>
      <c r="W12" s="6" t="s">
        <v>31</v>
      </c>
      <c r="X12" s="6" t="s">
        <v>32</v>
      </c>
      <c r="Y12" s="6" t="s">
        <v>33</v>
      </c>
      <c r="Z12" s="6">
        <v>2017</v>
      </c>
      <c r="AA12" s="6" t="s">
        <v>34</v>
      </c>
      <c r="AB12" s="6" t="s">
        <v>35</v>
      </c>
      <c r="AC12" s="6" t="s">
        <v>36</v>
      </c>
      <c r="AD12" s="6" t="s">
        <v>37</v>
      </c>
      <c r="AE12" s="6" t="s">
        <v>38</v>
      </c>
      <c r="AF12" s="6" t="s">
        <v>39</v>
      </c>
      <c r="AG12" s="6" t="s">
        <v>40</v>
      </c>
      <c r="AH12" s="6" t="s">
        <v>41</v>
      </c>
      <c r="AI12" s="6" t="s">
        <v>42</v>
      </c>
      <c r="AJ12" s="6" t="s">
        <v>43</v>
      </c>
      <c r="AK12" s="6" t="s">
        <v>44</v>
      </c>
      <c r="AL12" s="6">
        <v>2018</v>
      </c>
      <c r="AM12" s="6" t="s">
        <v>85</v>
      </c>
      <c r="AN12" s="6" t="s">
        <v>86</v>
      </c>
      <c r="AO12" s="6" t="s">
        <v>87</v>
      </c>
      <c r="AP12" s="6" t="s">
        <v>88</v>
      </c>
      <c r="AQ12" s="6" t="s">
        <v>89</v>
      </c>
      <c r="AR12" s="6" t="s">
        <v>90</v>
      </c>
      <c r="AS12" s="6" t="s">
        <v>91</v>
      </c>
      <c r="AT12" s="6" t="s">
        <v>92</v>
      </c>
      <c r="AU12" s="6" t="s">
        <v>93</v>
      </c>
      <c r="AV12" s="6" t="s">
        <v>94</v>
      </c>
      <c r="AW12" s="6" t="s">
        <v>95</v>
      </c>
      <c r="AX12" s="6">
        <v>2019</v>
      </c>
      <c r="AY12" s="6" t="s">
        <v>96</v>
      </c>
      <c r="AZ12" s="6" t="s">
        <v>97</v>
      </c>
      <c r="BA12" s="6" t="s">
        <v>98</v>
      </c>
      <c r="BB12" s="6" t="s">
        <v>99</v>
      </c>
      <c r="BC12" s="6" t="s">
        <v>100</v>
      </c>
      <c r="BD12" s="6" t="s">
        <v>101</v>
      </c>
      <c r="BE12" s="6" t="s">
        <v>102</v>
      </c>
      <c r="BF12" s="6" t="s">
        <v>103</v>
      </c>
      <c r="BG12" s="6" t="s">
        <v>104</v>
      </c>
      <c r="BH12" s="6" t="s">
        <v>105</v>
      </c>
      <c r="BI12" s="6" t="s">
        <v>106</v>
      </c>
      <c r="BJ12" s="6">
        <v>2020</v>
      </c>
      <c r="BK12" s="6" t="s">
        <v>109</v>
      </c>
      <c r="BL12" s="6" t="s">
        <v>110</v>
      </c>
      <c r="BM12" s="6" t="s">
        <v>111</v>
      </c>
      <c r="BN12" s="6" t="s">
        <v>112</v>
      </c>
      <c r="BO12" s="6" t="s">
        <v>113</v>
      </c>
      <c r="BP12" s="6" t="s">
        <v>114</v>
      </c>
      <c r="BQ12" s="6" t="s">
        <v>115</v>
      </c>
      <c r="BR12" s="6" t="s">
        <v>118</v>
      </c>
      <c r="BS12" s="6" t="s">
        <v>119</v>
      </c>
      <c r="BT12" s="6" t="s">
        <v>120</v>
      </c>
      <c r="BU12" s="6" t="s">
        <v>121</v>
      </c>
      <c r="BV12" s="6">
        <v>2021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130</v>
      </c>
      <c r="CE12" s="6" t="s">
        <v>131</v>
      </c>
      <c r="CF12" s="6" t="s">
        <v>132</v>
      </c>
      <c r="CG12" s="6" t="s">
        <v>133</v>
      </c>
      <c r="CH12" s="6">
        <v>2022</v>
      </c>
      <c r="CI12" s="6" t="s">
        <v>134</v>
      </c>
      <c r="CJ12" s="6" t="s">
        <v>135</v>
      </c>
      <c r="CK12" s="6" t="s">
        <v>136</v>
      </c>
      <c r="CL12" s="6" t="s">
        <v>137</v>
      </c>
      <c r="CM12" s="6" t="s">
        <v>138</v>
      </c>
      <c r="CN12" s="6" t="s">
        <v>139</v>
      </c>
      <c r="CO12" s="6" t="s">
        <v>140</v>
      </c>
      <c r="CP12" s="6" t="s">
        <v>141</v>
      </c>
      <c r="CQ12" s="6" t="s">
        <v>142</v>
      </c>
      <c r="CR12" s="6" t="s">
        <v>143</v>
      </c>
      <c r="CS12" s="6" t="s">
        <v>144</v>
      </c>
      <c r="CT12" s="6">
        <v>2023</v>
      </c>
      <c r="CU12" s="6" t="s">
        <v>145</v>
      </c>
      <c r="CV12" s="6" t="s">
        <v>146</v>
      </c>
      <c r="CW12" s="6" t="s">
        <v>147</v>
      </c>
      <c r="CX12" s="6" t="s">
        <v>148</v>
      </c>
      <c r="CY12" s="6" t="s">
        <v>149</v>
      </c>
      <c r="CZ12" s="6" t="s">
        <v>150</v>
      </c>
      <c r="DA12" s="6" t="s">
        <v>151</v>
      </c>
      <c r="DB12" s="6" t="s">
        <v>155</v>
      </c>
      <c r="DC12" s="6" t="s">
        <v>156</v>
      </c>
      <c r="DD12" s="6" t="s">
        <v>157</v>
      </c>
      <c r="DE12" s="6" t="s">
        <v>158</v>
      </c>
      <c r="DF12" s="6">
        <v>2024</v>
      </c>
      <c r="DG12" s="6" t="s">
        <v>159</v>
      </c>
      <c r="DH12" s="6" t="s">
        <v>160</v>
      </c>
      <c r="DI12" s="6" t="s">
        <v>161</v>
      </c>
      <c r="DJ12" s="6" t="s">
        <v>162</v>
      </c>
      <c r="DK12" s="6" t="s">
        <v>163</v>
      </c>
      <c r="DL12" s="6" t="s">
        <v>164</v>
      </c>
      <c r="DM12" s="6" t="s">
        <v>165</v>
      </c>
      <c r="DN12" s="6" t="s">
        <v>171</v>
      </c>
      <c r="DO12" s="6" t="s">
        <v>172</v>
      </c>
      <c r="DP12" s="6" t="s">
        <v>173</v>
      </c>
      <c r="DQ12" s="6" t="s">
        <v>174</v>
      </c>
      <c r="DR12" s="6">
        <v>2025</v>
      </c>
      <c r="DS12" s="6" t="s">
        <v>175</v>
      </c>
      <c r="DT12" s="6" t="s">
        <v>176</v>
      </c>
      <c r="DU12" s="6" t="s">
        <v>177</v>
      </c>
      <c r="DV12" s="6" t="s">
        <v>178</v>
      </c>
      <c r="DW12" s="6" t="s">
        <v>179</v>
      </c>
      <c r="DX12" s="6" t="s">
        <v>180</v>
      </c>
      <c r="DY12" s="6" t="s">
        <v>181</v>
      </c>
    </row>
    <row r="13" spans="1:129" x14ac:dyDescent="0.25">
      <c r="A13" s="6" t="s">
        <v>46</v>
      </c>
      <c r="B13" s="55">
        <v>92.1</v>
      </c>
      <c r="C13" s="55">
        <v>89.8</v>
      </c>
      <c r="D13" s="55">
        <v>92.3</v>
      </c>
      <c r="E13" s="55">
        <v>91.3</v>
      </c>
      <c r="F13" s="55">
        <v>91.6</v>
      </c>
      <c r="G13" s="55">
        <v>92.1</v>
      </c>
      <c r="H13" s="55">
        <v>92.7</v>
      </c>
      <c r="I13" s="55">
        <v>93.1</v>
      </c>
      <c r="J13" s="55">
        <v>92.2</v>
      </c>
      <c r="K13" s="55">
        <v>94.4</v>
      </c>
      <c r="L13" s="55">
        <v>93.6</v>
      </c>
      <c r="M13" s="55">
        <v>94.2</v>
      </c>
      <c r="N13" s="55">
        <v>92.8</v>
      </c>
      <c r="O13" s="55">
        <v>93.7</v>
      </c>
      <c r="P13" s="55">
        <v>92.6</v>
      </c>
      <c r="Q13" s="55">
        <v>94.5</v>
      </c>
      <c r="R13" s="56">
        <v>93</v>
      </c>
      <c r="S13" s="55">
        <v>94.2</v>
      </c>
      <c r="T13" s="55">
        <v>94.6</v>
      </c>
      <c r="U13" s="55">
        <v>95.3</v>
      </c>
      <c r="V13" s="56">
        <v>95</v>
      </c>
      <c r="W13" s="56">
        <v>95</v>
      </c>
      <c r="X13" s="55">
        <v>96.1</v>
      </c>
      <c r="Y13" s="55">
        <v>96.9</v>
      </c>
      <c r="Z13" s="55">
        <v>93.9</v>
      </c>
      <c r="AA13" s="55">
        <v>98.2</v>
      </c>
      <c r="AB13" s="55">
        <v>99.5</v>
      </c>
      <c r="AC13" s="55">
        <v>98.9</v>
      </c>
      <c r="AD13" s="55">
        <v>100.9</v>
      </c>
      <c r="AE13" s="55">
        <v>99.5</v>
      </c>
      <c r="AF13" s="55">
        <v>100.4</v>
      </c>
      <c r="AG13" s="55">
        <v>101.4</v>
      </c>
      <c r="AH13" s="55">
        <v>100.3</v>
      </c>
      <c r="AI13" s="55">
        <v>100.5</v>
      </c>
      <c r="AJ13" s="55">
        <v>100.7</v>
      </c>
      <c r="AK13" s="55">
        <v>100.1</v>
      </c>
      <c r="AL13" s="55">
        <v>103.1</v>
      </c>
      <c r="AM13" s="55">
        <v>98.6</v>
      </c>
      <c r="AN13" s="55">
        <v>99.8</v>
      </c>
      <c r="AO13" s="55">
        <v>102.1</v>
      </c>
      <c r="AP13" s="55">
        <v>103.1</v>
      </c>
      <c r="AQ13" s="55">
        <v>104.8</v>
      </c>
      <c r="AR13" s="55">
        <v>104.2</v>
      </c>
      <c r="AS13" s="55">
        <v>104.2</v>
      </c>
      <c r="AT13" s="55">
        <v>105.1</v>
      </c>
      <c r="AU13" s="55">
        <v>105.4</v>
      </c>
      <c r="AV13" s="56">
        <v>105</v>
      </c>
      <c r="AW13" s="55">
        <v>107.4</v>
      </c>
      <c r="AX13" s="55">
        <v>103.8</v>
      </c>
      <c r="AY13" s="55">
        <v>107.2</v>
      </c>
      <c r="AZ13" s="55">
        <v>106.3</v>
      </c>
      <c r="BA13" s="55">
        <v>107.1</v>
      </c>
      <c r="BB13" s="55">
        <v>106.1</v>
      </c>
      <c r="BC13" s="55">
        <v>105.7</v>
      </c>
      <c r="BD13" s="55">
        <v>106.1</v>
      </c>
      <c r="BE13" s="55">
        <v>106.7</v>
      </c>
      <c r="BF13" s="55">
        <v>106.3</v>
      </c>
      <c r="BG13" s="56">
        <v>106</v>
      </c>
      <c r="BH13" s="55">
        <v>105.7</v>
      </c>
      <c r="BI13" s="56">
        <v>103</v>
      </c>
      <c r="BJ13" s="55">
        <v>106.8</v>
      </c>
      <c r="BK13" s="55">
        <v>105.5</v>
      </c>
      <c r="BL13" s="55">
        <v>99.1</v>
      </c>
      <c r="BM13" s="55">
        <v>90.4</v>
      </c>
      <c r="BN13" s="56">
        <v>96</v>
      </c>
      <c r="BO13" s="55">
        <v>98.9</v>
      </c>
      <c r="BP13" s="55">
        <v>100.1</v>
      </c>
      <c r="BQ13" s="55">
        <v>100.2</v>
      </c>
      <c r="BR13" s="55">
        <v>100.7</v>
      </c>
      <c r="BS13" s="55">
        <v>99.8</v>
      </c>
      <c r="BT13" s="55">
        <v>100.1</v>
      </c>
      <c r="BU13" s="55">
        <v>100.5</v>
      </c>
      <c r="BV13" s="55">
        <v>97.1</v>
      </c>
      <c r="BW13" s="55">
        <v>93.4</v>
      </c>
      <c r="BX13" s="55">
        <v>99.4</v>
      </c>
      <c r="BY13" s="55">
        <v>100.3</v>
      </c>
      <c r="BZ13" s="55">
        <v>100.4</v>
      </c>
      <c r="CA13" s="55">
        <v>100.8</v>
      </c>
      <c r="CB13" s="55">
        <v>100.8</v>
      </c>
      <c r="CC13" s="56">
        <v>99</v>
      </c>
      <c r="CD13" s="55">
        <v>102.2</v>
      </c>
      <c r="CE13" s="55">
        <v>101.8</v>
      </c>
      <c r="CF13" s="55">
        <v>102.9</v>
      </c>
      <c r="CG13" s="55">
        <v>101.9</v>
      </c>
      <c r="CH13" s="55">
        <v>104.7</v>
      </c>
      <c r="CI13" s="55">
        <v>107.3</v>
      </c>
      <c r="CJ13" s="55">
        <v>106.6</v>
      </c>
      <c r="CK13" s="55">
        <v>105.2</v>
      </c>
      <c r="CL13" s="55">
        <v>106.4</v>
      </c>
      <c r="CM13" s="56">
        <v>105</v>
      </c>
      <c r="CN13" s="55">
        <v>103.5</v>
      </c>
      <c r="CO13" s="55">
        <v>104.5</v>
      </c>
      <c r="CP13" s="55">
        <v>102.6</v>
      </c>
      <c r="CQ13" s="55">
        <v>103.3</v>
      </c>
      <c r="CR13" s="55">
        <v>103.1</v>
      </c>
      <c r="CS13" s="55">
        <v>100.3</v>
      </c>
      <c r="CT13" s="55">
        <v>102.6</v>
      </c>
      <c r="CU13" s="55">
        <v>104.2</v>
      </c>
      <c r="CV13" s="55">
        <v>103.8</v>
      </c>
      <c r="CW13" s="55">
        <v>101.4</v>
      </c>
      <c r="CX13" s="55">
        <v>102.9</v>
      </c>
      <c r="CY13" s="56">
        <v>102</v>
      </c>
      <c r="CZ13" s="56">
        <v>102</v>
      </c>
      <c r="DA13" s="55">
        <v>101.6</v>
      </c>
      <c r="DB13" s="55">
        <v>101.9</v>
      </c>
      <c r="DC13" s="55">
        <v>100.4</v>
      </c>
      <c r="DD13" s="55">
        <v>100.7</v>
      </c>
      <c r="DE13" s="55">
        <v>101.9</v>
      </c>
      <c r="DF13" s="55">
        <v>98.9</v>
      </c>
      <c r="DG13" s="55">
        <v>101.4</v>
      </c>
      <c r="DH13" s="55">
        <v>98.6</v>
      </c>
      <c r="DI13" s="55">
        <v>99.2</v>
      </c>
      <c r="DJ13" s="55">
        <v>98.2</v>
      </c>
      <c r="DK13" s="55">
        <v>97.7</v>
      </c>
      <c r="DL13" s="55">
        <v>97.7</v>
      </c>
      <c r="DM13" s="55">
        <v>99.9</v>
      </c>
      <c r="DN13" s="55">
        <v>98.7</v>
      </c>
      <c r="DO13" s="55">
        <v>98.2</v>
      </c>
      <c r="DP13" s="55">
        <v>98.4</v>
      </c>
      <c r="DQ13" s="55">
        <v>98.7</v>
      </c>
      <c r="DR13" s="55">
        <v>99.7</v>
      </c>
      <c r="DS13" s="55">
        <v>98.2</v>
      </c>
      <c r="DT13" s="55">
        <v>98.5</v>
      </c>
      <c r="DU13" s="55">
        <v>98.3</v>
      </c>
      <c r="DV13" s="56">
        <v>98</v>
      </c>
      <c r="DW13" s="55">
        <v>97.8</v>
      </c>
      <c r="DX13" s="55">
        <v>97.1</v>
      </c>
      <c r="DY13" s="55">
        <v>97.1</v>
      </c>
    </row>
    <row r="14" spans="1:129" x14ac:dyDescent="0.25">
      <c r="A14" s="6" t="s">
        <v>47</v>
      </c>
      <c r="B14" s="53">
        <v>92.4</v>
      </c>
      <c r="C14" s="53">
        <v>90.9</v>
      </c>
      <c r="D14" s="53">
        <v>91.9</v>
      </c>
      <c r="E14" s="53">
        <v>90.8</v>
      </c>
      <c r="F14" s="53">
        <v>91.3</v>
      </c>
      <c r="G14" s="53">
        <v>89.7</v>
      </c>
      <c r="H14" s="53">
        <v>89.4</v>
      </c>
      <c r="I14" s="53">
        <v>89.5</v>
      </c>
      <c r="J14" s="53">
        <v>89.3</v>
      </c>
      <c r="K14" s="53">
        <v>89.6</v>
      </c>
      <c r="L14" s="53">
        <v>88.7</v>
      </c>
      <c r="M14" s="53">
        <v>88.6</v>
      </c>
      <c r="N14" s="54">
        <v>90</v>
      </c>
      <c r="O14" s="53">
        <v>88.1</v>
      </c>
      <c r="P14" s="53">
        <v>85.6</v>
      </c>
      <c r="Q14" s="53">
        <v>85.9</v>
      </c>
      <c r="R14" s="53">
        <v>85.4</v>
      </c>
      <c r="S14" s="53">
        <v>86.1</v>
      </c>
      <c r="T14" s="54">
        <v>86</v>
      </c>
      <c r="U14" s="53">
        <v>87.1</v>
      </c>
      <c r="V14" s="53">
        <v>87.6</v>
      </c>
      <c r="W14" s="53">
        <v>86.4</v>
      </c>
      <c r="X14" s="53">
        <v>86.9</v>
      </c>
      <c r="Y14" s="53">
        <v>89.5</v>
      </c>
      <c r="Z14" s="53">
        <v>84.2</v>
      </c>
      <c r="AA14" s="54">
        <v>89</v>
      </c>
      <c r="AB14" s="53">
        <v>92.6</v>
      </c>
      <c r="AC14" s="53">
        <v>91.8</v>
      </c>
      <c r="AD14" s="53">
        <v>92.4</v>
      </c>
      <c r="AE14" s="53">
        <v>92.7</v>
      </c>
      <c r="AF14" s="53">
        <v>92.9</v>
      </c>
      <c r="AG14" s="53">
        <v>94.2</v>
      </c>
      <c r="AH14" s="53">
        <v>93.6</v>
      </c>
      <c r="AI14" s="53">
        <v>96.1</v>
      </c>
      <c r="AJ14" s="53">
        <v>96.6</v>
      </c>
      <c r="AK14" s="54">
        <v>97</v>
      </c>
      <c r="AL14" s="53">
        <v>96.5</v>
      </c>
      <c r="AM14" s="53">
        <v>92.7</v>
      </c>
      <c r="AN14" s="53">
        <v>92.2</v>
      </c>
      <c r="AO14" s="53">
        <v>96.2</v>
      </c>
      <c r="AP14" s="54">
        <v>99</v>
      </c>
      <c r="AQ14" s="53">
        <v>100.3</v>
      </c>
      <c r="AR14" s="53">
        <v>101.6</v>
      </c>
      <c r="AS14" s="53">
        <v>103.2</v>
      </c>
      <c r="AT14" s="53">
        <v>101.8</v>
      </c>
      <c r="AU14" s="53">
        <v>102.5</v>
      </c>
      <c r="AV14" s="54">
        <v>101</v>
      </c>
      <c r="AW14" s="54">
        <v>102</v>
      </c>
      <c r="AX14" s="53">
        <v>99.6</v>
      </c>
      <c r="AY14" s="53">
        <v>102.9</v>
      </c>
      <c r="AZ14" s="53">
        <v>103.8</v>
      </c>
      <c r="BA14" s="53">
        <v>104.1</v>
      </c>
      <c r="BB14" s="53">
        <v>102.9</v>
      </c>
      <c r="BC14" s="53">
        <v>103.2</v>
      </c>
      <c r="BD14" s="53">
        <v>105.1</v>
      </c>
      <c r="BE14" s="53">
        <v>104.2</v>
      </c>
      <c r="BF14" s="53">
        <v>105.9</v>
      </c>
      <c r="BG14" s="53">
        <v>103.2</v>
      </c>
      <c r="BH14" s="53">
        <v>103.5</v>
      </c>
      <c r="BI14" s="54">
        <v>105</v>
      </c>
      <c r="BJ14" s="53">
        <v>106.2</v>
      </c>
      <c r="BK14" s="54">
        <v>105</v>
      </c>
      <c r="BL14" s="53">
        <v>90.8</v>
      </c>
      <c r="BM14" s="54">
        <v>84</v>
      </c>
      <c r="BN14" s="53">
        <v>95.9</v>
      </c>
      <c r="BO14" s="53">
        <v>100.3</v>
      </c>
      <c r="BP14" s="53">
        <v>101.8</v>
      </c>
      <c r="BQ14" s="53">
        <v>102.3</v>
      </c>
      <c r="BR14" s="53">
        <v>100.6</v>
      </c>
      <c r="BS14" s="53">
        <v>100.2</v>
      </c>
      <c r="BT14" s="54">
        <v>101</v>
      </c>
      <c r="BU14" s="53">
        <v>100.2</v>
      </c>
      <c r="BV14" s="53">
        <v>98.9</v>
      </c>
      <c r="BW14" s="53">
        <v>93.9</v>
      </c>
      <c r="BX14" s="53">
        <v>99.9</v>
      </c>
      <c r="BY14" s="53">
        <v>100.5</v>
      </c>
      <c r="BZ14" s="54">
        <v>100</v>
      </c>
      <c r="CA14" s="53">
        <v>100.6</v>
      </c>
      <c r="CB14" s="53">
        <v>100.2</v>
      </c>
      <c r="CC14" s="53">
        <v>100.3</v>
      </c>
      <c r="CD14" s="53">
        <v>101.5</v>
      </c>
      <c r="CE14" s="53">
        <v>100.4</v>
      </c>
      <c r="CF14" s="53">
        <v>101.9</v>
      </c>
      <c r="CG14" s="54">
        <v>102</v>
      </c>
      <c r="CH14" s="53">
        <v>104.5</v>
      </c>
      <c r="CI14" s="53">
        <v>103.8</v>
      </c>
      <c r="CJ14" s="53">
        <v>104.7</v>
      </c>
      <c r="CK14" s="53">
        <v>100.9</v>
      </c>
      <c r="CL14" s="53">
        <v>103.2</v>
      </c>
      <c r="CM14" s="53">
        <v>103.1</v>
      </c>
      <c r="CN14" s="53">
        <v>102.6</v>
      </c>
      <c r="CO14" s="53">
        <v>101.9</v>
      </c>
      <c r="CP14" s="53">
        <v>101.9</v>
      </c>
      <c r="CQ14" s="54">
        <v>104</v>
      </c>
      <c r="CR14" s="53">
        <v>105.1</v>
      </c>
      <c r="CS14" s="53">
        <v>102.9</v>
      </c>
      <c r="CT14" s="53">
        <v>107.4</v>
      </c>
      <c r="CU14" s="53">
        <v>108.4</v>
      </c>
      <c r="CV14" s="53">
        <v>106.9</v>
      </c>
      <c r="CW14" s="54">
        <v>107</v>
      </c>
      <c r="CX14" s="53">
        <v>108.4</v>
      </c>
      <c r="CY14" s="53">
        <v>108.4</v>
      </c>
      <c r="CZ14" s="53">
        <v>108.5</v>
      </c>
      <c r="DA14" s="53">
        <v>108.5</v>
      </c>
      <c r="DB14" s="53">
        <v>109.4</v>
      </c>
      <c r="DC14" s="53">
        <v>108.4</v>
      </c>
      <c r="DD14" s="53">
        <v>107.2</v>
      </c>
      <c r="DE14" s="53">
        <v>108.8</v>
      </c>
      <c r="DF14" s="53">
        <v>107.1</v>
      </c>
      <c r="DG14" s="53">
        <v>109.8</v>
      </c>
      <c r="DH14" s="53">
        <v>108.6</v>
      </c>
      <c r="DI14" s="53">
        <v>107.8</v>
      </c>
      <c r="DJ14" s="53">
        <v>106.1</v>
      </c>
      <c r="DK14" s="53">
        <v>108.2</v>
      </c>
      <c r="DL14" s="53">
        <v>107.5</v>
      </c>
      <c r="DM14" s="53">
        <v>105.9</v>
      </c>
      <c r="DN14" s="53">
        <v>106.5</v>
      </c>
      <c r="DO14" s="53">
        <v>107.9</v>
      </c>
      <c r="DP14" s="53">
        <v>110.2</v>
      </c>
      <c r="DQ14" s="53">
        <v>111.6</v>
      </c>
      <c r="DR14" s="53">
        <v>108.6</v>
      </c>
      <c r="DS14" s="53">
        <v>108.1</v>
      </c>
      <c r="DT14" s="53">
        <v>109.5</v>
      </c>
      <c r="DU14" s="53">
        <v>109.7</v>
      </c>
      <c r="DV14" s="53">
        <v>109.3</v>
      </c>
      <c r="DW14" s="53">
        <v>109.2</v>
      </c>
      <c r="DX14" s="53">
        <v>109.9</v>
      </c>
      <c r="DY14" s="53">
        <v>107.1</v>
      </c>
    </row>
    <row r="15" spans="1:129" x14ac:dyDescent="0.25">
      <c r="A15" s="6" t="s">
        <v>167</v>
      </c>
      <c r="B15" s="55">
        <v>94.6</v>
      </c>
      <c r="C15" s="55">
        <v>93.1</v>
      </c>
      <c r="D15" s="55">
        <v>95.6</v>
      </c>
      <c r="E15" s="55">
        <v>94.7</v>
      </c>
      <c r="F15" s="55">
        <v>94.4</v>
      </c>
      <c r="G15" s="56">
        <v>95</v>
      </c>
      <c r="H15" s="55">
        <v>93.9</v>
      </c>
      <c r="I15" s="55">
        <v>95.4</v>
      </c>
      <c r="J15" s="55">
        <v>94.9</v>
      </c>
      <c r="K15" s="55">
        <v>94.9</v>
      </c>
      <c r="L15" s="55">
        <v>95.8</v>
      </c>
      <c r="M15" s="55">
        <v>95.4</v>
      </c>
      <c r="N15" s="55">
        <v>97.1</v>
      </c>
      <c r="O15" s="55">
        <v>94.7</v>
      </c>
      <c r="P15" s="55">
        <v>95.1</v>
      </c>
      <c r="Q15" s="55">
        <v>94.9</v>
      </c>
      <c r="R15" s="55">
        <v>96.4</v>
      </c>
      <c r="S15" s="55">
        <v>95.7</v>
      </c>
      <c r="T15" s="55">
        <v>96.4</v>
      </c>
      <c r="U15" s="56">
        <v>98</v>
      </c>
      <c r="V15" s="55">
        <v>97.4</v>
      </c>
      <c r="W15" s="55">
        <v>97.2</v>
      </c>
      <c r="X15" s="55">
        <v>98.1</v>
      </c>
      <c r="Y15" s="55">
        <v>97.9</v>
      </c>
      <c r="Z15" s="55">
        <v>97.7</v>
      </c>
      <c r="AA15" s="55">
        <v>99.4</v>
      </c>
      <c r="AB15" s="56">
        <v>100</v>
      </c>
      <c r="AC15" s="55">
        <v>101.4</v>
      </c>
      <c r="AD15" s="55">
        <v>101.1</v>
      </c>
      <c r="AE15" s="55">
        <v>101.2</v>
      </c>
      <c r="AF15" s="55">
        <v>101.3</v>
      </c>
      <c r="AG15" s="56">
        <v>102</v>
      </c>
      <c r="AH15" s="55">
        <v>101.4</v>
      </c>
      <c r="AI15" s="55">
        <v>103.2</v>
      </c>
      <c r="AJ15" s="55">
        <v>103.3</v>
      </c>
      <c r="AK15" s="55">
        <v>104.8</v>
      </c>
      <c r="AL15" s="55">
        <v>100.2</v>
      </c>
      <c r="AM15" s="55">
        <v>99.5</v>
      </c>
      <c r="AN15" s="55">
        <v>97.8</v>
      </c>
      <c r="AO15" s="55">
        <v>100.9</v>
      </c>
      <c r="AP15" s="55">
        <v>99.5</v>
      </c>
      <c r="AQ15" s="56">
        <v>101</v>
      </c>
      <c r="AR15" s="55">
        <v>101.9</v>
      </c>
      <c r="AS15" s="55">
        <v>102.4</v>
      </c>
      <c r="AT15" s="55">
        <v>102.9</v>
      </c>
      <c r="AU15" s="55">
        <v>101.9</v>
      </c>
      <c r="AV15" s="55">
        <v>102.2</v>
      </c>
      <c r="AW15" s="55">
        <v>104.1</v>
      </c>
      <c r="AX15" s="55">
        <v>101.2</v>
      </c>
      <c r="AY15" s="55">
        <v>103.6</v>
      </c>
      <c r="AZ15" s="55">
        <v>104.1</v>
      </c>
      <c r="BA15" s="55">
        <v>103.8</v>
      </c>
      <c r="BB15" s="55">
        <v>102.5</v>
      </c>
      <c r="BC15" s="55">
        <v>102.5</v>
      </c>
      <c r="BD15" s="55">
        <v>102.6</v>
      </c>
      <c r="BE15" s="55">
        <v>102.3</v>
      </c>
      <c r="BF15" s="55">
        <v>103.1</v>
      </c>
      <c r="BG15" s="55">
        <v>102.1</v>
      </c>
      <c r="BH15" s="56">
        <v>103</v>
      </c>
      <c r="BI15" s="55">
        <v>102.1</v>
      </c>
      <c r="BJ15" s="55">
        <v>103.3</v>
      </c>
      <c r="BK15" s="55">
        <v>103.2</v>
      </c>
      <c r="BL15" s="55">
        <v>90.7</v>
      </c>
      <c r="BM15" s="55">
        <v>77.2</v>
      </c>
      <c r="BN15" s="55">
        <v>91.9</v>
      </c>
      <c r="BO15" s="56">
        <v>98</v>
      </c>
      <c r="BP15" s="55">
        <v>96.8</v>
      </c>
      <c r="BQ15" s="56">
        <v>100</v>
      </c>
      <c r="BR15" s="55">
        <v>98.9</v>
      </c>
      <c r="BS15" s="55">
        <v>98.9</v>
      </c>
      <c r="BT15" s="55">
        <v>100.3</v>
      </c>
      <c r="BU15" s="56">
        <v>104</v>
      </c>
      <c r="BV15" s="55">
        <v>97.7</v>
      </c>
      <c r="BW15" s="55">
        <v>96.5</v>
      </c>
      <c r="BX15" s="56">
        <v>100</v>
      </c>
      <c r="BY15" s="55">
        <v>99.8</v>
      </c>
      <c r="BZ15" s="55">
        <v>100.4</v>
      </c>
      <c r="CA15" s="55">
        <v>100.8</v>
      </c>
      <c r="CB15" s="55">
        <v>100.5</v>
      </c>
      <c r="CC15" s="55">
        <v>99.6</v>
      </c>
      <c r="CD15" s="55">
        <v>100.7</v>
      </c>
      <c r="CE15" s="55">
        <v>101.6</v>
      </c>
      <c r="CF15" s="55">
        <v>101.6</v>
      </c>
      <c r="CG15" s="55">
        <v>100.8</v>
      </c>
      <c r="CH15" s="55">
        <v>102.1</v>
      </c>
      <c r="CI15" s="55">
        <v>102.3</v>
      </c>
      <c r="CJ15" s="55">
        <v>103.2</v>
      </c>
      <c r="CK15" s="55">
        <v>102.3</v>
      </c>
      <c r="CL15" s="55">
        <v>102.8</v>
      </c>
      <c r="CM15" s="55">
        <v>102.3</v>
      </c>
      <c r="CN15" s="55">
        <v>101.4</v>
      </c>
      <c r="CO15" s="55">
        <v>101.8</v>
      </c>
      <c r="CP15" s="56">
        <v>102</v>
      </c>
      <c r="CQ15" s="55">
        <v>102.7</v>
      </c>
      <c r="CR15" s="55">
        <v>103.1</v>
      </c>
      <c r="CS15" s="55">
        <v>101.1</v>
      </c>
      <c r="CT15" s="55">
        <v>103.5</v>
      </c>
      <c r="CU15" s="56">
        <v>105</v>
      </c>
      <c r="CV15" s="55">
        <v>103.8</v>
      </c>
      <c r="CW15" s="55">
        <v>103.8</v>
      </c>
      <c r="CX15" s="55">
        <v>104.4</v>
      </c>
      <c r="CY15" s="55">
        <v>104.2</v>
      </c>
      <c r="CZ15" s="55">
        <v>104.6</v>
      </c>
      <c r="DA15" s="55">
        <v>103.8</v>
      </c>
      <c r="DB15" s="55">
        <v>104.3</v>
      </c>
      <c r="DC15" s="55">
        <v>104.3</v>
      </c>
      <c r="DD15" s="55">
        <v>103.2</v>
      </c>
      <c r="DE15" s="56">
        <v>104</v>
      </c>
      <c r="DF15" s="55">
        <v>103.8</v>
      </c>
      <c r="DG15" s="55">
        <v>103.3</v>
      </c>
      <c r="DH15" s="55">
        <v>102.9</v>
      </c>
      <c r="DI15" s="55">
        <v>102.3</v>
      </c>
      <c r="DJ15" s="55">
        <v>102.1</v>
      </c>
      <c r="DK15" s="55">
        <v>102.5</v>
      </c>
      <c r="DL15" s="55">
        <v>101.8</v>
      </c>
      <c r="DM15" s="55">
        <v>102.3</v>
      </c>
      <c r="DN15" s="55">
        <v>101.9</v>
      </c>
      <c r="DO15" s="55">
        <v>101.8</v>
      </c>
      <c r="DP15" s="55">
        <v>103.3</v>
      </c>
      <c r="DQ15" s="55">
        <v>103.5</v>
      </c>
      <c r="DR15" s="55">
        <v>104.2</v>
      </c>
      <c r="DS15" s="55">
        <v>103.3</v>
      </c>
      <c r="DT15" s="55">
        <v>103.5</v>
      </c>
      <c r="DU15" s="55">
        <v>103.9</v>
      </c>
      <c r="DV15" s="55">
        <v>102.7</v>
      </c>
      <c r="DW15" s="55">
        <v>103.1</v>
      </c>
      <c r="DX15" s="56">
        <v>104</v>
      </c>
      <c r="DY15" s="56">
        <v>104</v>
      </c>
    </row>
    <row r="16" spans="1:129" x14ac:dyDescent="0.25">
      <c r="B16" s="53"/>
      <c r="C16" s="53"/>
      <c r="D16" s="53"/>
      <c r="E16" s="54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  <c r="R16" s="54"/>
      <c r="S16" s="53"/>
      <c r="T16" s="53"/>
      <c r="U16" s="54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4"/>
      <c r="AO16" s="53"/>
      <c r="AP16" s="53"/>
      <c r="AQ16" s="53"/>
      <c r="AR16" s="53"/>
      <c r="AS16" s="53"/>
      <c r="AT16" s="53"/>
      <c r="AU16" s="53"/>
      <c r="AV16" s="54"/>
      <c r="AW16" s="53"/>
      <c r="AX16" s="53"/>
      <c r="AY16" s="53"/>
      <c r="AZ16" s="54"/>
      <c r="BA16" s="53"/>
      <c r="BB16" s="53"/>
      <c r="BC16" s="54"/>
      <c r="BD16" s="53"/>
      <c r="BE16" s="54"/>
      <c r="BF16" s="53"/>
      <c r="BG16" s="53"/>
      <c r="BH16" s="53"/>
      <c r="BI16" s="53"/>
      <c r="BJ16" s="54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4"/>
      <c r="CS16" s="53"/>
      <c r="CT16" s="54"/>
      <c r="CU16" s="53"/>
      <c r="CV16" s="53"/>
      <c r="CW16" s="53"/>
      <c r="CX16" s="53"/>
      <c r="CY16" s="53"/>
      <c r="CZ16" s="53"/>
      <c r="DA16" s="53"/>
      <c r="DB16" s="53"/>
      <c r="DC16" s="54"/>
      <c r="DD16" s="53"/>
      <c r="DE16" s="53"/>
      <c r="DF16" s="54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</row>
    <row r="19" spans="1:2" ht="13" x14ac:dyDescent="0.3">
      <c r="A19" s="8" t="s">
        <v>187</v>
      </c>
    </row>
    <row r="20" spans="1:2" x14ac:dyDescent="0.25">
      <c r="A20" s="4" t="s">
        <v>188</v>
      </c>
    </row>
    <row r="22" spans="1:2" x14ac:dyDescent="0.25">
      <c r="A22" s="4" t="s">
        <v>170</v>
      </c>
    </row>
    <row r="23" spans="1:2" ht="13" x14ac:dyDescent="0.3">
      <c r="A23" s="10" t="s">
        <v>153</v>
      </c>
    </row>
    <row r="24" spans="1:2" ht="14" x14ac:dyDescent="0.3">
      <c r="A24" s="110" t="s">
        <v>196</v>
      </c>
      <c r="B24" s="107"/>
    </row>
    <row r="25" spans="1:2" ht="14" x14ac:dyDescent="0.3">
      <c r="A25" s="4" t="s">
        <v>197</v>
      </c>
      <c r="B25" s="107" t="s">
        <v>194</v>
      </c>
    </row>
    <row r="47" s="4" customFormat="1" ht="44.5" customHeight="1" x14ac:dyDescent="0.25"/>
    <row r="48" s="4" customFormat="1" ht="17.149999999999999" customHeight="1" x14ac:dyDescent="0.25"/>
  </sheetData>
  <phoneticPr fontId="7" type="noConversion"/>
  <hyperlinks>
    <hyperlink ref="B25" r:id="rId1" xr:uid="{5A235906-B81E-42C7-A1FE-36AD836B4AB9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62"/>
  <sheetViews>
    <sheetView showGridLines="0" tabSelected="1" topLeftCell="A35" zoomScaleNormal="100" workbookViewId="0">
      <selection activeCell="F54" sqref="F54"/>
    </sheetView>
  </sheetViews>
  <sheetFormatPr defaultColWidth="8.58203125" defaultRowHeight="12.5" x14ac:dyDescent="0.25"/>
  <cols>
    <col min="1" max="1" width="2.58203125" style="12" customWidth="1"/>
    <col min="2" max="2" width="21.25" style="12" customWidth="1"/>
    <col min="3" max="5" width="9.33203125" style="11" customWidth="1"/>
    <col min="6" max="7" width="9.33203125" style="12" customWidth="1"/>
    <col min="8" max="9" width="6.58203125" style="12" customWidth="1"/>
    <col min="10" max="10" width="8.83203125" style="12" customWidth="1"/>
    <col min="11" max="16384" width="8.58203125" style="12"/>
  </cols>
  <sheetData>
    <row r="1" spans="2:11" x14ac:dyDescent="0.25">
      <c r="B1" s="3" t="s">
        <v>48</v>
      </c>
      <c r="F1" s="11"/>
      <c r="G1" s="11"/>
    </row>
    <row r="2" spans="2:11" x14ac:dyDescent="0.25">
      <c r="F2" s="11"/>
      <c r="G2" s="11"/>
    </row>
    <row r="3" spans="2:11" x14ac:dyDescent="0.25">
      <c r="B3" s="3" t="s">
        <v>1</v>
      </c>
      <c r="C3" s="5" t="s">
        <v>182</v>
      </c>
      <c r="F3" s="11"/>
      <c r="G3" s="11"/>
    </row>
    <row r="4" spans="2:11" x14ac:dyDescent="0.25">
      <c r="B4" s="3" t="s">
        <v>2</v>
      </c>
      <c r="C4" s="5" t="s">
        <v>182</v>
      </c>
      <c r="F4" s="11"/>
      <c r="G4" s="11"/>
    </row>
    <row r="5" spans="2:11" x14ac:dyDescent="0.25">
      <c r="B5" s="3" t="s">
        <v>3</v>
      </c>
      <c r="C5" s="13" t="s">
        <v>4</v>
      </c>
      <c r="F5" s="11"/>
      <c r="G5" s="11"/>
    </row>
    <row r="6" spans="2:11" x14ac:dyDescent="0.25">
      <c r="C6" s="14"/>
      <c r="F6" s="11"/>
      <c r="G6" s="11"/>
    </row>
    <row r="7" spans="2:11" x14ac:dyDescent="0.25">
      <c r="B7" s="3" t="s">
        <v>5</v>
      </c>
      <c r="C7" s="13" t="s">
        <v>6</v>
      </c>
      <c r="F7" s="11"/>
      <c r="G7" s="11"/>
    </row>
    <row r="8" spans="2:11" x14ac:dyDescent="0.25">
      <c r="B8" s="3" t="s">
        <v>7</v>
      </c>
      <c r="C8" s="13" t="s">
        <v>8</v>
      </c>
      <c r="F8" s="11"/>
      <c r="G8" s="11"/>
    </row>
    <row r="9" spans="2:11" x14ac:dyDescent="0.25">
      <c r="B9" s="3" t="s">
        <v>9</v>
      </c>
      <c r="C9" s="13" t="s">
        <v>49</v>
      </c>
      <c r="F9" s="11"/>
      <c r="G9" s="11"/>
    </row>
    <row r="10" spans="2:11" x14ac:dyDescent="0.25">
      <c r="B10" s="3" t="s">
        <v>11</v>
      </c>
      <c r="C10" s="13" t="s">
        <v>50</v>
      </c>
      <c r="F10" s="11"/>
      <c r="G10" s="11"/>
    </row>
    <row r="11" spans="2:11" x14ac:dyDescent="0.25">
      <c r="B11" s="3"/>
    </row>
    <row r="12" spans="2:11" ht="15.5" x14ac:dyDescent="0.35">
      <c r="B12" s="1" t="s">
        <v>190</v>
      </c>
    </row>
    <row r="13" spans="2:11" ht="14" x14ac:dyDescent="0.3">
      <c r="B13" s="42" t="s">
        <v>191</v>
      </c>
    </row>
    <row r="15" spans="2:11" ht="13" x14ac:dyDescent="0.3">
      <c r="B15" s="69"/>
      <c r="C15" s="59" t="s">
        <v>129</v>
      </c>
      <c r="D15" s="59">
        <v>2021</v>
      </c>
      <c r="E15" s="59">
        <v>2022</v>
      </c>
      <c r="F15" s="59">
        <v>2023</v>
      </c>
      <c r="G15" s="59">
        <v>2024</v>
      </c>
      <c r="H15" s="16"/>
      <c r="I15" s="16"/>
      <c r="J15" s="17" t="s">
        <v>169</v>
      </c>
      <c r="K15" s="17" t="s">
        <v>184</v>
      </c>
    </row>
    <row r="16" spans="2:11" ht="13" x14ac:dyDescent="0.25">
      <c r="B16" s="70" t="s">
        <v>117</v>
      </c>
      <c r="C16" s="75">
        <v>-5.6</v>
      </c>
      <c r="D16" s="60">
        <v>3.8</v>
      </c>
      <c r="E16" s="60">
        <v>2.5</v>
      </c>
      <c r="F16" s="60">
        <v>1.9</v>
      </c>
      <c r="G16" s="60">
        <v>-1.5</v>
      </c>
      <c r="H16" s="18"/>
      <c r="I16" s="18"/>
      <c r="J16" s="19">
        <f>100*(1+D16/100)*(1+E16/100)*(1+F16/100)</f>
        <v>108.41650499999997</v>
      </c>
      <c r="K16" s="19">
        <f>100*(1+C16/100)*(1+D16/100)*(1+E16/100)*(1+F16/100)*(1+G16/100)</f>
        <v>100.81000300919997</v>
      </c>
    </row>
    <row r="17" spans="2:11" ht="13" x14ac:dyDescent="0.25">
      <c r="B17" s="71" t="s">
        <v>152</v>
      </c>
      <c r="C17" s="76">
        <v>-6.4</v>
      </c>
      <c r="D17" s="61">
        <v>4.0999999999999996</v>
      </c>
      <c r="E17" s="61">
        <v>2.1</v>
      </c>
      <c r="F17" s="61">
        <v>2.1</v>
      </c>
      <c r="G17" s="61">
        <v>-1</v>
      </c>
      <c r="H17" s="18"/>
      <c r="I17" s="18"/>
      <c r="J17" s="19">
        <f>100*(1+D17/100)*(1+E17/100)*(1+F17/100)</f>
        <v>108.51810809999998</v>
      </c>
      <c r="K17" s="19">
        <f t="shared" ref="K17:K52" si="0">100*(1+C17/100)*(1+D17/100)*(1+E17/100)*(1+F17/100)*(1+G17/100)</f>
        <v>100.55721968978396</v>
      </c>
    </row>
    <row r="18" spans="2:11" ht="13" x14ac:dyDescent="0.3">
      <c r="B18" s="72" t="s">
        <v>51</v>
      </c>
      <c r="C18" s="77">
        <v>-7.9</v>
      </c>
      <c r="D18" s="62">
        <v>4.4000000000000004</v>
      </c>
      <c r="E18" s="62">
        <v>1.4</v>
      </c>
      <c r="F18" s="62">
        <v>0.4</v>
      </c>
      <c r="G18" s="62">
        <v>-1.2</v>
      </c>
      <c r="H18" s="18"/>
      <c r="I18" s="18"/>
      <c r="J18" s="19">
        <f t="shared" ref="J18:J52" si="1">100*(1+D18/100)*(1+E18/100)*(1+F18/100)</f>
        <v>106.28504640000001</v>
      </c>
      <c r="K18" s="19">
        <f t="shared" si="0"/>
        <v>96.713865401587213</v>
      </c>
    </row>
    <row r="19" spans="2:11" ht="13" x14ac:dyDescent="0.3">
      <c r="B19" s="73" t="s">
        <v>52</v>
      </c>
      <c r="C19" s="68">
        <v>-6.3</v>
      </c>
      <c r="D19" s="63">
        <v>3.6</v>
      </c>
      <c r="E19" s="63">
        <v>0.9</v>
      </c>
      <c r="F19" s="63">
        <v>-1.5</v>
      </c>
      <c r="G19" s="63">
        <v>3.5</v>
      </c>
      <c r="H19" s="18"/>
      <c r="I19" s="18"/>
      <c r="J19" s="19">
        <f t="shared" si="1"/>
        <v>102.96441399999999</v>
      </c>
      <c r="K19" s="19">
        <f t="shared" si="0"/>
        <v>99.85437387512998</v>
      </c>
    </row>
    <row r="20" spans="2:11" ht="13" x14ac:dyDescent="0.3">
      <c r="B20" s="73" t="s">
        <v>107</v>
      </c>
      <c r="C20" s="68">
        <v>-7</v>
      </c>
      <c r="D20" s="63">
        <v>2.4</v>
      </c>
      <c r="E20" s="63">
        <v>3.3</v>
      </c>
      <c r="F20" s="63">
        <v>-2.4</v>
      </c>
      <c r="G20" s="63">
        <v>-1.5</v>
      </c>
      <c r="H20" s="18"/>
      <c r="I20" s="18"/>
      <c r="J20" s="19">
        <f t="shared" si="1"/>
        <v>103.2404992</v>
      </c>
      <c r="K20" s="19">
        <f t="shared" si="0"/>
        <v>94.573459292159981</v>
      </c>
    </row>
    <row r="21" spans="2:11" ht="13" x14ac:dyDescent="0.3">
      <c r="B21" s="73" t="s">
        <v>53</v>
      </c>
      <c r="C21" s="68">
        <v>2.9</v>
      </c>
      <c r="D21" s="63">
        <v>7.2</v>
      </c>
      <c r="E21" s="63">
        <v>4.8</v>
      </c>
      <c r="F21" s="63">
        <v>-0.4</v>
      </c>
      <c r="G21" s="63">
        <v>0.8</v>
      </c>
      <c r="H21" s="18"/>
      <c r="I21" s="18"/>
      <c r="J21" s="19">
        <f t="shared" si="1"/>
        <v>111.8962176</v>
      </c>
      <c r="K21" s="19">
        <f t="shared" si="0"/>
        <v>116.06233757368319</v>
      </c>
    </row>
    <row r="22" spans="2:11" ht="13" x14ac:dyDescent="0.3">
      <c r="B22" s="73" t="s">
        <v>82</v>
      </c>
      <c r="C22" s="68">
        <v>3</v>
      </c>
      <c r="D22" s="63">
        <v>-2.4</v>
      </c>
      <c r="E22" s="63">
        <v>-2.4</v>
      </c>
      <c r="F22" s="63">
        <v>-1.1000000000000001</v>
      </c>
      <c r="G22" s="63">
        <v>-3.2</v>
      </c>
      <c r="H22" s="18"/>
      <c r="I22" s="18"/>
      <c r="J22" s="19">
        <f t="shared" si="1"/>
        <v>94.209766399999992</v>
      </c>
      <c r="K22" s="19">
        <f t="shared" si="0"/>
        <v>93.930905491455988</v>
      </c>
    </row>
    <row r="23" spans="2:11" ht="13" x14ac:dyDescent="0.3">
      <c r="B23" s="73" t="s">
        <v>54</v>
      </c>
      <c r="C23" s="68">
        <v>-6.1</v>
      </c>
      <c r="D23" s="63">
        <v>9.3000000000000007</v>
      </c>
      <c r="E23" s="63">
        <v>-1.2</v>
      </c>
      <c r="F23" s="63">
        <v>-5.8</v>
      </c>
      <c r="G23" s="63">
        <v>-6.2</v>
      </c>
      <c r="H23" s="18"/>
      <c r="I23" s="18"/>
      <c r="J23" s="19">
        <f t="shared" si="1"/>
        <v>101.72507279999999</v>
      </c>
      <c r="K23" s="19">
        <f t="shared" si="0"/>
        <v>89.597613070929597</v>
      </c>
    </row>
    <row r="24" spans="2:11" ht="13" x14ac:dyDescent="0.3">
      <c r="B24" s="73" t="s">
        <v>55</v>
      </c>
      <c r="C24" s="68">
        <v>-9.1999999999999993</v>
      </c>
      <c r="D24" s="63">
        <v>-3</v>
      </c>
      <c r="E24" s="63" t="s">
        <v>45</v>
      </c>
      <c r="F24" s="63" t="s">
        <v>45</v>
      </c>
      <c r="G24" s="63" t="s">
        <v>45</v>
      </c>
      <c r="H24" s="18"/>
      <c r="I24" s="18"/>
      <c r="J24" s="19" t="e">
        <f t="shared" si="1"/>
        <v>#VALUE!</v>
      </c>
      <c r="K24" s="19" t="s">
        <v>45</v>
      </c>
    </row>
    <row r="25" spans="2:11" ht="13" x14ac:dyDescent="0.3">
      <c r="B25" s="73" t="s">
        <v>56</v>
      </c>
      <c r="C25" s="68">
        <v>-9.6</v>
      </c>
      <c r="D25" s="63">
        <v>6.8</v>
      </c>
      <c r="E25" s="63">
        <v>12.7</v>
      </c>
      <c r="F25" s="63">
        <v>9.6</v>
      </c>
      <c r="G25" s="63">
        <v>19.899999999999999</v>
      </c>
      <c r="H25" s="18"/>
      <c r="I25" s="18"/>
      <c r="J25" s="19">
        <f t="shared" si="1"/>
        <v>131.91850560000003</v>
      </c>
      <c r="K25" s="19">
        <f t="shared" si="0"/>
        <v>142.98594054581764</v>
      </c>
    </row>
    <row r="26" spans="2:11" ht="13" x14ac:dyDescent="0.3">
      <c r="B26" s="73" t="s">
        <v>57</v>
      </c>
      <c r="C26" s="68">
        <v>-13.5</v>
      </c>
      <c r="D26" s="63">
        <v>-5</v>
      </c>
      <c r="E26" s="63">
        <v>-8.1</v>
      </c>
      <c r="F26" s="63">
        <v>4.5999999999999996</v>
      </c>
      <c r="G26" s="63">
        <v>2.6</v>
      </c>
      <c r="H26" s="18"/>
      <c r="I26" s="18"/>
      <c r="J26" s="19">
        <f t="shared" si="1"/>
        <v>91.321030000000007</v>
      </c>
      <c r="K26" s="19">
        <f t="shared" si="0"/>
        <v>81.046500914700019</v>
      </c>
    </row>
    <row r="27" spans="2:11" ht="13" x14ac:dyDescent="0.3">
      <c r="B27" s="73" t="s">
        <v>58</v>
      </c>
      <c r="C27" s="68">
        <v>-15.9</v>
      </c>
      <c r="D27" s="63">
        <v>6.2</v>
      </c>
      <c r="E27" s="63">
        <v>-3.1</v>
      </c>
      <c r="F27" s="63">
        <v>1.4</v>
      </c>
      <c r="G27" s="63">
        <v>-3.4</v>
      </c>
      <c r="H27" s="18"/>
      <c r="I27" s="18"/>
      <c r="J27" s="19">
        <f t="shared" si="1"/>
        <v>104.3485092</v>
      </c>
      <c r="K27" s="19">
        <f t="shared" si="0"/>
        <v>84.773354965135198</v>
      </c>
    </row>
    <row r="28" spans="2:11" ht="13" x14ac:dyDescent="0.3">
      <c r="B28" s="73" t="s">
        <v>59</v>
      </c>
      <c r="C28" s="68">
        <v>3.5</v>
      </c>
      <c r="D28" s="63">
        <v>9.1999999999999993</v>
      </c>
      <c r="E28" s="63">
        <v>4.9000000000000004</v>
      </c>
      <c r="F28" s="63">
        <v>5.2</v>
      </c>
      <c r="G28" s="63">
        <v>13.5</v>
      </c>
      <c r="H28" s="18"/>
      <c r="I28" s="18"/>
      <c r="J28" s="19">
        <f t="shared" si="1"/>
        <v>120.50744160000001</v>
      </c>
      <c r="K28" s="19">
        <f t="shared" si="0"/>
        <v>141.56310433356001</v>
      </c>
    </row>
    <row r="29" spans="2:11" ht="13" x14ac:dyDescent="0.3">
      <c r="B29" s="73" t="s">
        <v>60</v>
      </c>
      <c r="C29" s="68">
        <v>-7.8</v>
      </c>
      <c r="D29" s="63">
        <v>25.2</v>
      </c>
      <c r="E29" s="63">
        <v>22.4</v>
      </c>
      <c r="F29" s="63">
        <v>7.1</v>
      </c>
      <c r="G29" s="63">
        <v>3.9</v>
      </c>
      <c r="H29" s="18"/>
      <c r="I29" s="18"/>
      <c r="J29" s="19">
        <f t="shared" si="1"/>
        <v>164.12518079999998</v>
      </c>
      <c r="K29" s="19">
        <f t="shared" si="0"/>
        <v>157.22502994880637</v>
      </c>
    </row>
    <row r="30" spans="2:11" ht="13" x14ac:dyDescent="0.3">
      <c r="B30" s="73" t="s">
        <v>61</v>
      </c>
      <c r="C30" s="68">
        <v>-6.6</v>
      </c>
      <c r="D30" s="63">
        <v>4.7</v>
      </c>
      <c r="E30" s="63">
        <v>4.4000000000000004</v>
      </c>
      <c r="F30" s="63">
        <v>8.4</v>
      </c>
      <c r="G30" s="63">
        <v>7.8</v>
      </c>
      <c r="H30" s="18"/>
      <c r="I30" s="18"/>
      <c r="J30" s="19">
        <f t="shared" si="1"/>
        <v>118.48857120000001</v>
      </c>
      <c r="K30" s="19">
        <f t="shared" si="0"/>
        <v>119.30045488986241</v>
      </c>
    </row>
    <row r="31" spans="2:11" ht="13" x14ac:dyDescent="0.3">
      <c r="B31" s="73" t="s">
        <v>62</v>
      </c>
      <c r="C31" s="68">
        <v>2.7</v>
      </c>
      <c r="D31" s="63">
        <v>-6.2</v>
      </c>
      <c r="E31" s="63">
        <v>-11.3</v>
      </c>
      <c r="F31" s="63">
        <v>18.8</v>
      </c>
      <c r="G31" s="63">
        <v>-4.3</v>
      </c>
      <c r="H31" s="18"/>
      <c r="I31" s="18"/>
      <c r="J31" s="19">
        <f t="shared" si="1"/>
        <v>98.842312799999988</v>
      </c>
      <c r="K31" s="19">
        <f t="shared" si="0"/>
        <v>97.146079870039188</v>
      </c>
    </row>
    <row r="32" spans="2:11" ht="13" x14ac:dyDescent="0.3">
      <c r="B32" s="73" t="s">
        <v>63</v>
      </c>
      <c r="C32" s="68">
        <v>-2</v>
      </c>
      <c r="D32" s="63">
        <v>5.2</v>
      </c>
      <c r="E32" s="63">
        <v>4.5999999999999996</v>
      </c>
      <c r="F32" s="63">
        <v>12.1</v>
      </c>
      <c r="G32" s="63">
        <v>6.1</v>
      </c>
      <c r="H32" s="18"/>
      <c r="I32" s="18"/>
      <c r="J32" s="19">
        <f t="shared" si="1"/>
        <v>123.3539432</v>
      </c>
      <c r="K32" s="19">
        <f t="shared" si="0"/>
        <v>128.26096306049601</v>
      </c>
    </row>
    <row r="33" spans="2:11" ht="13" x14ac:dyDescent="0.3">
      <c r="B33" s="73" t="s">
        <v>64</v>
      </c>
      <c r="C33" s="68">
        <v>-9.4</v>
      </c>
      <c r="D33" s="63">
        <v>5.9</v>
      </c>
      <c r="E33" s="63">
        <v>0.7</v>
      </c>
      <c r="F33" s="63">
        <v>-1.2</v>
      </c>
      <c r="G33" s="63">
        <v>-4.3</v>
      </c>
      <c r="H33" s="18"/>
      <c r="I33" s="18"/>
      <c r="J33" s="19">
        <f t="shared" si="1"/>
        <v>105.36160439999999</v>
      </c>
      <c r="K33" s="19">
        <f t="shared" si="0"/>
        <v>91.352936202184793</v>
      </c>
    </row>
    <row r="34" spans="2:11" ht="13" x14ac:dyDescent="0.3">
      <c r="B34" s="73" t="s">
        <v>65</v>
      </c>
      <c r="C34" s="68">
        <v>-9.9</v>
      </c>
      <c r="D34" s="63">
        <v>11.8</v>
      </c>
      <c r="E34" s="63">
        <v>2.1</v>
      </c>
      <c r="F34" s="63">
        <v>-5.0999999999999996</v>
      </c>
      <c r="G34" s="63">
        <v>-1.4</v>
      </c>
      <c r="H34" s="18"/>
      <c r="I34" s="18"/>
      <c r="J34" s="19">
        <f t="shared" si="1"/>
        <v>108.3262622</v>
      </c>
      <c r="K34" s="19">
        <f t="shared" si="0"/>
        <v>96.235534770809195</v>
      </c>
    </row>
    <row r="35" spans="2:11" ht="13" x14ac:dyDescent="0.3">
      <c r="B35" s="73" t="s">
        <v>66</v>
      </c>
      <c r="C35" s="68">
        <v>4.0999999999999996</v>
      </c>
      <c r="D35" s="63">
        <v>17.100000000000001</v>
      </c>
      <c r="E35" s="63">
        <v>2.7</v>
      </c>
      <c r="F35" s="63">
        <v>12.6</v>
      </c>
      <c r="G35" s="63">
        <v>5.4</v>
      </c>
      <c r="H35" s="18"/>
      <c r="I35" s="18"/>
      <c r="J35" s="19">
        <f t="shared" si="1"/>
        <v>135.41467419999998</v>
      </c>
      <c r="K35" s="19">
        <f t="shared" si="0"/>
        <v>148.57887633767879</v>
      </c>
    </row>
    <row r="36" spans="2:11" ht="13" x14ac:dyDescent="0.3">
      <c r="B36" s="73" t="s">
        <v>67</v>
      </c>
      <c r="C36" s="68">
        <v>-0.6</v>
      </c>
      <c r="D36" s="63">
        <v>2.1</v>
      </c>
      <c r="E36" s="63">
        <v>7.6</v>
      </c>
      <c r="F36" s="63">
        <v>3</v>
      </c>
      <c r="G36" s="63">
        <v>-2.7</v>
      </c>
      <c r="H36" s="18"/>
      <c r="I36" s="18"/>
      <c r="J36" s="19">
        <f t="shared" si="1"/>
        <v>113.155388</v>
      </c>
      <c r="K36" s="19">
        <f t="shared" si="0"/>
        <v>109.439591368856</v>
      </c>
    </row>
    <row r="37" spans="2:11" ht="13" x14ac:dyDescent="0.3">
      <c r="B37" s="73" t="s">
        <v>68</v>
      </c>
      <c r="C37" s="68">
        <v>-4.3</v>
      </c>
      <c r="D37" s="63">
        <v>7.7</v>
      </c>
      <c r="E37" s="63">
        <v>1.6</v>
      </c>
      <c r="F37" s="63">
        <v>-0.2</v>
      </c>
      <c r="G37" s="63">
        <v>-1.9</v>
      </c>
      <c r="H37" s="18"/>
      <c r="I37" s="18"/>
      <c r="J37" s="19">
        <f t="shared" si="1"/>
        <v>109.20435359999999</v>
      </c>
      <c r="K37" s="19">
        <f t="shared" si="0"/>
        <v>102.5229036336912</v>
      </c>
    </row>
    <row r="38" spans="2:11" ht="13" x14ac:dyDescent="0.3">
      <c r="B38" s="73" t="s">
        <v>69</v>
      </c>
      <c r="C38" s="68">
        <v>-4.3</v>
      </c>
      <c r="D38" s="68">
        <v>1.3</v>
      </c>
      <c r="E38" s="68">
        <v>8.3000000000000007</v>
      </c>
      <c r="F38" s="68">
        <v>5.2</v>
      </c>
      <c r="G38" s="68">
        <v>-7.7</v>
      </c>
      <c r="H38" s="18"/>
      <c r="I38" s="18"/>
      <c r="J38" s="19">
        <f t="shared" si="1"/>
        <v>115.41271079999999</v>
      </c>
      <c r="K38" s="19">
        <f t="shared" si="0"/>
        <v>101.94531698945879</v>
      </c>
    </row>
    <row r="39" spans="2:11" ht="13" x14ac:dyDescent="0.3">
      <c r="B39" s="73" t="s">
        <v>70</v>
      </c>
      <c r="C39" s="68">
        <v>-4.4000000000000004</v>
      </c>
      <c r="D39" s="68">
        <v>2.8</v>
      </c>
      <c r="E39" s="68">
        <v>2.2000000000000002</v>
      </c>
      <c r="F39" s="68">
        <v>5.9</v>
      </c>
      <c r="G39" s="68">
        <v>2</v>
      </c>
      <c r="H39" s="18"/>
      <c r="I39" s="18"/>
      <c r="J39" s="19">
        <f t="shared" si="1"/>
        <v>111.26023439999999</v>
      </c>
      <c r="K39" s="19">
        <f t="shared" si="0"/>
        <v>108.49207976812799</v>
      </c>
    </row>
    <row r="40" spans="2:11" ht="13" x14ac:dyDescent="0.3">
      <c r="B40" s="81" t="s">
        <v>71</v>
      </c>
      <c r="C40" s="82">
        <v>16</v>
      </c>
      <c r="D40" s="82">
        <v>-1.2</v>
      </c>
      <c r="E40" s="82">
        <v>13.1</v>
      </c>
      <c r="F40" s="82">
        <v>16.2</v>
      </c>
      <c r="G40" s="82">
        <v>-5.8</v>
      </c>
      <c r="H40" s="18"/>
      <c r="I40" s="18"/>
      <c r="J40" s="19">
        <f t="shared" si="1"/>
        <v>129.8451336</v>
      </c>
      <c r="K40" s="19">
        <f t="shared" si="0"/>
        <v>141.88437438739197</v>
      </c>
    </row>
    <row r="41" spans="2:11" ht="13" x14ac:dyDescent="0.3">
      <c r="B41" s="81" t="s">
        <v>72</v>
      </c>
      <c r="C41" s="82">
        <v>-0.7</v>
      </c>
      <c r="D41" s="82">
        <v>-0.5</v>
      </c>
      <c r="E41" s="82">
        <v>22.2</v>
      </c>
      <c r="F41" s="82">
        <v>19.399999999999999</v>
      </c>
      <c r="G41" s="82">
        <v>-9.3000000000000007</v>
      </c>
      <c r="H41" s="18"/>
      <c r="I41" s="18"/>
      <c r="J41" s="19">
        <f t="shared" si="1"/>
        <v>145.177266</v>
      </c>
      <c r="K41" s="19">
        <f t="shared" si="0"/>
        <v>130.754049800166</v>
      </c>
    </row>
    <row r="42" spans="2:11" ht="13" x14ac:dyDescent="0.3">
      <c r="B42" s="81" t="s">
        <v>73</v>
      </c>
      <c r="C42" s="82">
        <v>-10.7</v>
      </c>
      <c r="D42" s="82">
        <v>-2.8</v>
      </c>
      <c r="E42" s="82">
        <v>-17.3</v>
      </c>
      <c r="F42" s="82">
        <v>0.5</v>
      </c>
      <c r="G42" s="82">
        <v>-5.4</v>
      </c>
      <c r="H42" s="18"/>
      <c r="I42" s="18"/>
      <c r="J42" s="19">
        <f t="shared" si="1"/>
        <v>80.786321999999984</v>
      </c>
      <c r="K42" s="19">
        <f t="shared" si="0"/>
        <v>68.24650752651597</v>
      </c>
    </row>
    <row r="43" spans="2:11" ht="13" x14ac:dyDescent="0.3">
      <c r="B43" s="81" t="s">
        <v>74</v>
      </c>
      <c r="C43" s="82">
        <v>-0.2</v>
      </c>
      <c r="D43" s="82">
        <v>3.5</v>
      </c>
      <c r="E43" s="82">
        <v>1.7</v>
      </c>
      <c r="F43" s="82">
        <v>-7.6</v>
      </c>
      <c r="G43" s="82">
        <v>-1.6</v>
      </c>
      <c r="H43" s="18"/>
      <c r="I43" s="18"/>
      <c r="J43" s="19">
        <f t="shared" si="1"/>
        <v>97.259777999999983</v>
      </c>
      <c r="K43" s="19">
        <f t="shared" si="0"/>
        <v>95.512214308895992</v>
      </c>
    </row>
    <row r="44" spans="2:11" ht="13" x14ac:dyDescent="0.3">
      <c r="B44" s="81" t="s">
        <v>75</v>
      </c>
      <c r="C44" s="82">
        <v>0.7</v>
      </c>
      <c r="D44" s="82">
        <v>1.3</v>
      </c>
      <c r="E44" s="82">
        <v>1.2</v>
      </c>
      <c r="F44" s="82">
        <v>-7.2</v>
      </c>
      <c r="G44" s="82">
        <v>-4.5</v>
      </c>
      <c r="H44" s="18"/>
      <c r="I44" s="18"/>
      <c r="J44" s="19">
        <f t="shared" si="1"/>
        <v>95.134476799999973</v>
      </c>
      <c r="K44" s="19">
        <f t="shared" si="0"/>
        <v>91.489399321407973</v>
      </c>
    </row>
    <row r="45" spans="2:11" ht="13" x14ac:dyDescent="0.3">
      <c r="B45" s="84" t="s">
        <v>76</v>
      </c>
      <c r="C45" s="85">
        <v>-2.2999999999999998</v>
      </c>
      <c r="D45" s="85">
        <v>1.4</v>
      </c>
      <c r="E45" s="85">
        <v>4.2</v>
      </c>
      <c r="F45" s="85">
        <v>-0.8</v>
      </c>
      <c r="G45" s="85">
        <v>-2.2999999999999998</v>
      </c>
      <c r="H45" s="18"/>
      <c r="I45" s="18"/>
      <c r="J45" s="19">
        <f t="shared" si="1"/>
        <v>104.81352960000001</v>
      </c>
      <c r="K45" s="19">
        <f t="shared" si="0"/>
        <v>100.04755359555841</v>
      </c>
    </row>
    <row r="46" spans="2:11" ht="13" x14ac:dyDescent="0.3">
      <c r="B46" s="81" t="s">
        <v>77</v>
      </c>
      <c r="C46" s="82">
        <v>-1.3</v>
      </c>
      <c r="D46" s="82">
        <v>1.9</v>
      </c>
      <c r="E46" s="82">
        <v>-4.3</v>
      </c>
      <c r="F46" s="82">
        <v>-2.7</v>
      </c>
      <c r="G46" s="82">
        <v>0.6</v>
      </c>
      <c r="H46" s="18"/>
      <c r="I46" s="18"/>
      <c r="J46" s="19">
        <f t="shared" si="1"/>
        <v>94.885305899999977</v>
      </c>
      <c r="K46" s="19">
        <f t="shared" si="0"/>
        <v>94.213707704839791</v>
      </c>
    </row>
    <row r="47" spans="2:11" ht="13" x14ac:dyDescent="0.3">
      <c r="B47" s="88" t="s">
        <v>81</v>
      </c>
      <c r="C47" s="83">
        <v>0.3</v>
      </c>
      <c r="D47" s="83">
        <v>2.5</v>
      </c>
      <c r="E47" s="83">
        <v>-0.2</v>
      </c>
      <c r="F47" s="83">
        <v>-0.4</v>
      </c>
      <c r="G47" s="83" t="s">
        <v>45</v>
      </c>
      <c r="H47" s="18"/>
      <c r="I47" s="18"/>
      <c r="J47" s="19">
        <f t="shared" si="1"/>
        <v>101.88581999999998</v>
      </c>
      <c r="K47" s="19" t="e">
        <f t="shared" si="0"/>
        <v>#VALUE!</v>
      </c>
    </row>
    <row r="48" spans="2:11" ht="13" x14ac:dyDescent="0.3">
      <c r="B48" s="79" t="s">
        <v>78</v>
      </c>
      <c r="C48" s="80">
        <v>-4.9000000000000004</v>
      </c>
      <c r="D48" s="80">
        <v>-5.2</v>
      </c>
      <c r="E48" s="80">
        <v>-4.5999999999999996</v>
      </c>
      <c r="F48" s="80">
        <v>-7.5</v>
      </c>
      <c r="G48" s="80">
        <v>1.4</v>
      </c>
      <c r="H48" s="18"/>
      <c r="I48" s="18"/>
      <c r="J48" s="19">
        <f t="shared" si="1"/>
        <v>83.656260000000003</v>
      </c>
      <c r="K48" s="19">
        <f t="shared" si="0"/>
        <v>80.670902705639989</v>
      </c>
    </row>
    <row r="49" spans="2:11" ht="13" x14ac:dyDescent="0.3">
      <c r="B49" s="74" t="s">
        <v>108</v>
      </c>
      <c r="C49" s="67">
        <v>1</v>
      </c>
      <c r="D49" s="67">
        <v>-12</v>
      </c>
      <c r="E49" s="67">
        <v>-13.2</v>
      </c>
      <c r="F49" s="67">
        <v>-1.8</v>
      </c>
      <c r="G49" s="67">
        <v>19.5</v>
      </c>
      <c r="H49" s="18"/>
      <c r="I49" s="18"/>
      <c r="J49" s="19">
        <f t="shared" si="1"/>
        <v>75.009088000000006</v>
      </c>
      <c r="K49" s="19">
        <f t="shared" si="0"/>
        <v>90.532218761600021</v>
      </c>
    </row>
    <row r="50" spans="2:11" ht="13" x14ac:dyDescent="0.3">
      <c r="B50" s="81" t="s">
        <v>79</v>
      </c>
      <c r="C50" s="82">
        <v>9.4</v>
      </c>
      <c r="D50" s="82">
        <v>17.899999999999999</v>
      </c>
      <c r="E50" s="82">
        <v>12.6</v>
      </c>
      <c r="F50" s="82">
        <v>2.8</v>
      </c>
      <c r="G50" s="82">
        <v>7</v>
      </c>
      <c r="H50" s="18"/>
      <c r="I50" s="18"/>
      <c r="J50" s="19">
        <f t="shared" si="1"/>
        <v>136.47255119999997</v>
      </c>
      <c r="K50" s="19">
        <f t="shared" si="0"/>
        <v>159.75203898369602</v>
      </c>
    </row>
    <row r="51" spans="2:11" ht="13" x14ac:dyDescent="0.3">
      <c r="B51" s="81" t="s">
        <v>80</v>
      </c>
      <c r="C51" s="82">
        <v>-3.8</v>
      </c>
      <c r="D51" s="82">
        <v>17.100000000000001</v>
      </c>
      <c r="E51" s="82">
        <v>-9.4</v>
      </c>
      <c r="F51" s="82">
        <v>8.4</v>
      </c>
      <c r="G51" s="82">
        <v>3.5</v>
      </c>
      <c r="H51" s="18"/>
      <c r="I51" s="18"/>
      <c r="J51" s="19">
        <f t="shared" si="1"/>
        <v>115.00437840000001</v>
      </c>
      <c r="K51" s="19">
        <f t="shared" si="0"/>
        <v>114.50640944152801</v>
      </c>
    </row>
    <row r="52" spans="2:11" ht="13" x14ac:dyDescent="0.3">
      <c r="B52" s="81" t="s">
        <v>183</v>
      </c>
      <c r="C52" s="82">
        <v>-5.6</v>
      </c>
      <c r="D52" s="82">
        <v>0</v>
      </c>
      <c r="E52" s="82">
        <v>-6.6</v>
      </c>
      <c r="F52" s="82">
        <v>7.6</v>
      </c>
      <c r="G52" s="82">
        <v>14.4</v>
      </c>
      <c r="H52" s="18"/>
      <c r="I52" s="18"/>
      <c r="J52" s="19">
        <f t="shared" si="1"/>
        <v>100.4984</v>
      </c>
      <c r="K52" s="19">
        <f t="shared" si="0"/>
        <v>108.53184010240001</v>
      </c>
    </row>
    <row r="53" spans="2:11" ht="12.65" customHeight="1" x14ac:dyDescent="0.3">
      <c r="B53" s="86"/>
      <c r="C53" s="87"/>
      <c r="D53" s="87"/>
      <c r="E53" s="87"/>
      <c r="F53" s="87"/>
      <c r="G53" s="87"/>
    </row>
    <row r="54" spans="2:11" ht="15.75" customHeight="1" x14ac:dyDescent="0.25">
      <c r="B54" s="13" t="s">
        <v>83</v>
      </c>
    </row>
    <row r="55" spans="2:11" ht="15.75" customHeight="1" x14ac:dyDescent="0.3">
      <c r="B55" s="30" t="s">
        <v>154</v>
      </c>
    </row>
    <row r="56" spans="2:11" ht="14.5" customHeight="1" x14ac:dyDescent="0.25"/>
    <row r="57" spans="2:11" ht="14.5" customHeight="1" x14ac:dyDescent="0.3">
      <c r="B57" s="17" t="s">
        <v>196</v>
      </c>
    </row>
    <row r="58" spans="2:11" ht="14" x14ac:dyDescent="0.3">
      <c r="B58" s="12" t="s">
        <v>199</v>
      </c>
      <c r="C58" s="111" t="s">
        <v>195</v>
      </c>
    </row>
    <row r="59" spans="2:11" ht="14" x14ac:dyDescent="0.3">
      <c r="B59" s="108"/>
      <c r="H59" s="31"/>
      <c r="I59" s="31"/>
      <c r="J59" s="31"/>
      <c r="K59" s="31"/>
    </row>
    <row r="60" spans="2:11" x14ac:dyDescent="0.25">
      <c r="B60" s="3"/>
      <c r="C60" s="31"/>
      <c r="D60" s="31"/>
      <c r="E60" s="31"/>
      <c r="F60" s="31"/>
      <c r="G60" s="31"/>
      <c r="H60" s="31"/>
      <c r="I60" s="31"/>
      <c r="J60" s="31"/>
      <c r="K60" s="31"/>
    </row>
    <row r="61" spans="2:11" x14ac:dyDescent="0.25">
      <c r="C61" s="31"/>
      <c r="D61" s="31"/>
      <c r="E61" s="31"/>
      <c r="F61" s="31"/>
      <c r="G61" s="31"/>
    </row>
    <row r="62" spans="2:11" x14ac:dyDescent="0.25">
      <c r="C62" s="31"/>
      <c r="D62" s="31"/>
      <c r="E62" s="31"/>
      <c r="F62" s="31"/>
      <c r="G62" s="31"/>
    </row>
  </sheetData>
  <hyperlinks>
    <hyperlink ref="C58" r:id="rId1" xr:uid="{7E0953C6-F654-48CE-96D7-C7FFED9B390B}"/>
  </hyperlinks>
  <pageMargins left="0.7" right="0.7" top="0.75" bottom="0.75" header="0.3" footer="0.3"/>
  <pageSetup paperSize="9" orientation="portrait" r:id="rId2"/>
  <ignoredErrors>
    <ignoredError sqref="C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"/>
  <sheetViews>
    <sheetView showGridLines="0" topLeftCell="A41" zoomScaleNormal="100" workbookViewId="0">
      <selection activeCell="B55" sqref="B55"/>
    </sheetView>
  </sheetViews>
  <sheetFormatPr defaultColWidth="9" defaultRowHeight="12.5" x14ac:dyDescent="0.25"/>
  <cols>
    <col min="1" max="1" width="14.83203125" style="32" customWidth="1"/>
    <col min="2" max="4" width="8.08203125" style="32" customWidth="1"/>
    <col min="5" max="5" width="1.58203125" style="32" customWidth="1"/>
    <col min="6" max="8" width="8.08203125" style="32" customWidth="1"/>
    <col min="9" max="9" width="1.58203125" style="32" customWidth="1"/>
    <col min="10" max="12" width="8.08203125" style="32" customWidth="1"/>
    <col min="13" max="13" width="6" style="32" customWidth="1"/>
    <col min="14" max="245" width="8.58203125" style="32"/>
    <col min="246" max="246" width="14.83203125" style="32" customWidth="1"/>
    <col min="247" max="264" width="5.5" style="32" customWidth="1"/>
    <col min="265" max="501" width="8.58203125" style="32"/>
    <col min="502" max="502" width="14.83203125" style="32" customWidth="1"/>
    <col min="503" max="520" width="5.5" style="32" customWidth="1"/>
    <col min="521" max="757" width="8.58203125" style="32"/>
    <col min="758" max="758" width="14.83203125" style="32" customWidth="1"/>
    <col min="759" max="776" width="5.5" style="32" customWidth="1"/>
    <col min="777" max="1013" width="8.58203125" style="32"/>
    <col min="1014" max="1014" width="14.83203125" style="32" customWidth="1"/>
    <col min="1015" max="1032" width="5.5" style="32" customWidth="1"/>
    <col min="1033" max="1269" width="8.58203125" style="32"/>
    <col min="1270" max="1270" width="14.83203125" style="32" customWidth="1"/>
    <col min="1271" max="1288" width="5.5" style="32" customWidth="1"/>
    <col min="1289" max="1525" width="8.58203125" style="32"/>
    <col min="1526" max="1526" width="14.83203125" style="32" customWidth="1"/>
    <col min="1527" max="1544" width="5.5" style="32" customWidth="1"/>
    <col min="1545" max="1781" width="8.58203125" style="32"/>
    <col min="1782" max="1782" width="14.83203125" style="32" customWidth="1"/>
    <col min="1783" max="1800" width="5.5" style="32" customWidth="1"/>
    <col min="1801" max="2037" width="8.58203125" style="32"/>
    <col min="2038" max="2038" width="14.83203125" style="32" customWidth="1"/>
    <col min="2039" max="2056" width="5.5" style="32" customWidth="1"/>
    <col min="2057" max="2293" width="8.58203125" style="32"/>
    <col min="2294" max="2294" width="14.83203125" style="32" customWidth="1"/>
    <col min="2295" max="2312" width="5.5" style="32" customWidth="1"/>
    <col min="2313" max="2549" width="8.58203125" style="32"/>
    <col min="2550" max="2550" width="14.83203125" style="32" customWidth="1"/>
    <col min="2551" max="2568" width="5.5" style="32" customWidth="1"/>
    <col min="2569" max="2805" width="8.58203125" style="32"/>
    <col min="2806" max="2806" width="14.83203125" style="32" customWidth="1"/>
    <col min="2807" max="2824" width="5.5" style="32" customWidth="1"/>
    <col min="2825" max="3061" width="8.58203125" style="32"/>
    <col min="3062" max="3062" width="14.83203125" style="32" customWidth="1"/>
    <col min="3063" max="3080" width="5.5" style="32" customWidth="1"/>
    <col min="3081" max="3317" width="8.58203125" style="32"/>
    <col min="3318" max="3318" width="14.83203125" style="32" customWidth="1"/>
    <col min="3319" max="3336" width="5.5" style="32" customWidth="1"/>
    <col min="3337" max="3573" width="8.58203125" style="32"/>
    <col min="3574" max="3574" width="14.83203125" style="32" customWidth="1"/>
    <col min="3575" max="3592" width="5.5" style="32" customWidth="1"/>
    <col min="3593" max="3829" width="8.58203125" style="32"/>
    <col min="3830" max="3830" width="14.83203125" style="32" customWidth="1"/>
    <col min="3831" max="3848" width="5.5" style="32" customWidth="1"/>
    <col min="3849" max="4085" width="8.58203125" style="32"/>
    <col min="4086" max="4086" width="14.83203125" style="32" customWidth="1"/>
    <col min="4087" max="4104" width="5.5" style="32" customWidth="1"/>
    <col min="4105" max="4341" width="8.58203125" style="32"/>
    <col min="4342" max="4342" width="14.83203125" style="32" customWidth="1"/>
    <col min="4343" max="4360" width="5.5" style="32" customWidth="1"/>
    <col min="4361" max="4597" width="8.58203125" style="32"/>
    <col min="4598" max="4598" width="14.83203125" style="32" customWidth="1"/>
    <col min="4599" max="4616" width="5.5" style="32" customWidth="1"/>
    <col min="4617" max="4853" width="8.58203125" style="32"/>
    <col min="4854" max="4854" width="14.83203125" style="32" customWidth="1"/>
    <col min="4855" max="4872" width="5.5" style="32" customWidth="1"/>
    <col min="4873" max="5109" width="8.58203125" style="32"/>
    <col min="5110" max="5110" width="14.83203125" style="32" customWidth="1"/>
    <col min="5111" max="5128" width="5.5" style="32" customWidth="1"/>
    <col min="5129" max="5365" width="8.58203125" style="32"/>
    <col min="5366" max="5366" width="14.83203125" style="32" customWidth="1"/>
    <col min="5367" max="5384" width="5.5" style="32" customWidth="1"/>
    <col min="5385" max="5621" width="8.58203125" style="32"/>
    <col min="5622" max="5622" width="14.83203125" style="32" customWidth="1"/>
    <col min="5623" max="5640" width="5.5" style="32" customWidth="1"/>
    <col min="5641" max="5877" width="8.58203125" style="32"/>
    <col min="5878" max="5878" width="14.83203125" style="32" customWidth="1"/>
    <col min="5879" max="5896" width="5.5" style="32" customWidth="1"/>
    <col min="5897" max="6133" width="8.58203125" style="32"/>
    <col min="6134" max="6134" width="14.83203125" style="32" customWidth="1"/>
    <col min="6135" max="6152" width="5.5" style="32" customWidth="1"/>
    <col min="6153" max="6389" width="8.58203125" style="32"/>
    <col min="6390" max="6390" width="14.83203125" style="32" customWidth="1"/>
    <col min="6391" max="6408" width="5.5" style="32" customWidth="1"/>
    <col min="6409" max="6645" width="8.58203125" style="32"/>
    <col min="6646" max="6646" width="14.83203125" style="32" customWidth="1"/>
    <col min="6647" max="6664" width="5.5" style="32" customWidth="1"/>
    <col min="6665" max="6901" width="8.58203125" style="32"/>
    <col min="6902" max="6902" width="14.83203125" style="32" customWidth="1"/>
    <col min="6903" max="6920" width="5.5" style="32" customWidth="1"/>
    <col min="6921" max="7157" width="8.58203125" style="32"/>
    <col min="7158" max="7158" width="14.83203125" style="32" customWidth="1"/>
    <col min="7159" max="7176" width="5.5" style="32" customWidth="1"/>
    <col min="7177" max="7413" width="8.58203125" style="32"/>
    <col min="7414" max="7414" width="14.83203125" style="32" customWidth="1"/>
    <col min="7415" max="7432" width="5.5" style="32" customWidth="1"/>
    <col min="7433" max="7669" width="8.58203125" style="32"/>
    <col min="7670" max="7670" width="14.83203125" style="32" customWidth="1"/>
    <col min="7671" max="7688" width="5.5" style="32" customWidth="1"/>
    <col min="7689" max="7925" width="8.58203125" style="32"/>
    <col min="7926" max="7926" width="14.83203125" style="32" customWidth="1"/>
    <col min="7927" max="7944" width="5.5" style="32" customWidth="1"/>
    <col min="7945" max="8181" width="8.58203125" style="32"/>
    <col min="8182" max="8182" width="14.83203125" style="32" customWidth="1"/>
    <col min="8183" max="8200" width="5.5" style="32" customWidth="1"/>
    <col min="8201" max="8437" width="8.58203125" style="32"/>
    <col min="8438" max="8438" width="14.83203125" style="32" customWidth="1"/>
    <col min="8439" max="8456" width="5.5" style="32" customWidth="1"/>
    <col min="8457" max="8693" width="8.58203125" style="32"/>
    <col min="8694" max="8694" width="14.83203125" style="32" customWidth="1"/>
    <col min="8695" max="8712" width="5.5" style="32" customWidth="1"/>
    <col min="8713" max="8949" width="8.58203125" style="32"/>
    <col min="8950" max="8950" width="14.83203125" style="32" customWidth="1"/>
    <col min="8951" max="8968" width="5.5" style="32" customWidth="1"/>
    <col min="8969" max="9205" width="8.58203125" style="32"/>
    <col min="9206" max="9206" width="14.83203125" style="32" customWidth="1"/>
    <col min="9207" max="9224" width="5.5" style="32" customWidth="1"/>
    <col min="9225" max="9461" width="8.58203125" style="32"/>
    <col min="9462" max="9462" width="14.83203125" style="32" customWidth="1"/>
    <col min="9463" max="9480" width="5.5" style="32" customWidth="1"/>
    <col min="9481" max="9717" width="8.58203125" style="32"/>
    <col min="9718" max="9718" width="14.83203125" style="32" customWidth="1"/>
    <col min="9719" max="9736" width="5.5" style="32" customWidth="1"/>
    <col min="9737" max="9973" width="8.58203125" style="32"/>
    <col min="9974" max="9974" width="14.83203125" style="32" customWidth="1"/>
    <col min="9975" max="9992" width="5.5" style="32" customWidth="1"/>
    <col min="9993" max="10229" width="8.58203125" style="32"/>
    <col min="10230" max="10230" width="14.83203125" style="32" customWidth="1"/>
    <col min="10231" max="10248" width="5.5" style="32" customWidth="1"/>
    <col min="10249" max="10485" width="8.58203125" style="32"/>
    <col min="10486" max="10486" width="14.83203125" style="32" customWidth="1"/>
    <col min="10487" max="10504" width="5.5" style="32" customWidth="1"/>
    <col min="10505" max="10741" width="8.58203125" style="32"/>
    <col min="10742" max="10742" width="14.83203125" style="32" customWidth="1"/>
    <col min="10743" max="10760" width="5.5" style="32" customWidth="1"/>
    <col min="10761" max="10997" width="8.58203125" style="32"/>
    <col min="10998" max="10998" width="14.83203125" style="32" customWidth="1"/>
    <col min="10999" max="11016" width="5.5" style="32" customWidth="1"/>
    <col min="11017" max="11253" width="8.58203125" style="32"/>
    <col min="11254" max="11254" width="14.83203125" style="32" customWidth="1"/>
    <col min="11255" max="11272" width="5.5" style="32" customWidth="1"/>
    <col min="11273" max="11509" width="8.58203125" style="32"/>
    <col min="11510" max="11510" width="14.83203125" style="32" customWidth="1"/>
    <col min="11511" max="11528" width="5.5" style="32" customWidth="1"/>
    <col min="11529" max="11765" width="8.58203125" style="32"/>
    <col min="11766" max="11766" width="14.83203125" style="32" customWidth="1"/>
    <col min="11767" max="11784" width="5.5" style="32" customWidth="1"/>
    <col min="11785" max="12021" width="8.58203125" style="32"/>
    <col min="12022" max="12022" width="14.83203125" style="32" customWidth="1"/>
    <col min="12023" max="12040" width="5.5" style="32" customWidth="1"/>
    <col min="12041" max="12277" width="8.58203125" style="32"/>
    <col min="12278" max="12278" width="14.83203125" style="32" customWidth="1"/>
    <col min="12279" max="12296" width="5.5" style="32" customWidth="1"/>
    <col min="12297" max="12533" width="8.58203125" style="32"/>
    <col min="12534" max="12534" width="14.83203125" style="32" customWidth="1"/>
    <col min="12535" max="12552" width="5.5" style="32" customWidth="1"/>
    <col min="12553" max="12789" width="8.58203125" style="32"/>
    <col min="12790" max="12790" width="14.83203125" style="32" customWidth="1"/>
    <col min="12791" max="12808" width="5.5" style="32" customWidth="1"/>
    <col min="12809" max="13045" width="8.58203125" style="32"/>
    <col min="13046" max="13046" width="14.83203125" style="32" customWidth="1"/>
    <col min="13047" max="13064" width="5.5" style="32" customWidth="1"/>
    <col min="13065" max="13301" width="8.58203125" style="32"/>
    <col min="13302" max="13302" width="14.83203125" style="32" customWidth="1"/>
    <col min="13303" max="13320" width="5.5" style="32" customWidth="1"/>
    <col min="13321" max="13557" width="8.58203125" style="32"/>
    <col min="13558" max="13558" width="14.83203125" style="32" customWidth="1"/>
    <col min="13559" max="13576" width="5.5" style="32" customWidth="1"/>
    <col min="13577" max="13813" width="8.58203125" style="32"/>
    <col min="13814" max="13814" width="14.83203125" style="32" customWidth="1"/>
    <col min="13815" max="13832" width="5.5" style="32" customWidth="1"/>
    <col min="13833" max="14069" width="8.58203125" style="32"/>
    <col min="14070" max="14070" width="14.83203125" style="32" customWidth="1"/>
    <col min="14071" max="14088" width="5.5" style="32" customWidth="1"/>
    <col min="14089" max="14325" width="8.58203125" style="32"/>
    <col min="14326" max="14326" width="14.83203125" style="32" customWidth="1"/>
    <col min="14327" max="14344" width="5.5" style="32" customWidth="1"/>
    <col min="14345" max="14581" width="8.58203125" style="32"/>
    <col min="14582" max="14582" width="14.83203125" style="32" customWidth="1"/>
    <col min="14583" max="14600" width="5.5" style="32" customWidth="1"/>
    <col min="14601" max="14837" width="8.58203125" style="32"/>
    <col min="14838" max="14838" width="14.83203125" style="32" customWidth="1"/>
    <col min="14839" max="14856" width="5.5" style="32" customWidth="1"/>
    <col min="14857" max="15093" width="8.58203125" style="32"/>
    <col min="15094" max="15094" width="14.83203125" style="32" customWidth="1"/>
    <col min="15095" max="15112" width="5.5" style="32" customWidth="1"/>
    <col min="15113" max="15349" width="8.58203125" style="32"/>
    <col min="15350" max="15350" width="14.83203125" style="32" customWidth="1"/>
    <col min="15351" max="15368" width="5.5" style="32" customWidth="1"/>
    <col min="15369" max="15605" width="8.58203125" style="32"/>
    <col min="15606" max="15606" width="14.83203125" style="32" customWidth="1"/>
    <col min="15607" max="15624" width="5.5" style="32" customWidth="1"/>
    <col min="15625" max="15861" width="8.58203125" style="32"/>
    <col min="15862" max="15862" width="14.83203125" style="32" customWidth="1"/>
    <col min="15863" max="15880" width="5.5" style="32" customWidth="1"/>
    <col min="15881" max="16115" width="8.58203125" style="32"/>
    <col min="16116" max="16384" width="8.58203125" style="32" customWidth="1"/>
  </cols>
  <sheetData>
    <row r="1" spans="1:12" x14ac:dyDescent="0.25">
      <c r="A1" s="3" t="s">
        <v>48</v>
      </c>
    </row>
    <row r="3" spans="1:12" x14ac:dyDescent="0.25">
      <c r="A3" s="3" t="s">
        <v>1</v>
      </c>
      <c r="B3" s="32" t="s">
        <v>182</v>
      </c>
    </row>
    <row r="4" spans="1:12" x14ac:dyDescent="0.25">
      <c r="A4" s="3" t="s">
        <v>2</v>
      </c>
      <c r="B4" s="32" t="s">
        <v>182</v>
      </c>
    </row>
    <row r="5" spans="1:12" x14ac:dyDescent="0.25">
      <c r="A5" s="3" t="s">
        <v>3</v>
      </c>
      <c r="B5" s="3" t="s">
        <v>4</v>
      </c>
    </row>
    <row r="6" spans="1:12" x14ac:dyDescent="0.25">
      <c r="A6" s="3" t="s">
        <v>5</v>
      </c>
    </row>
    <row r="7" spans="1:12" x14ac:dyDescent="0.25">
      <c r="A7" s="3" t="s">
        <v>7</v>
      </c>
      <c r="B7" s="3" t="s">
        <v>6</v>
      </c>
    </row>
    <row r="8" spans="1:12" x14ac:dyDescent="0.25">
      <c r="A8" s="3" t="s">
        <v>9</v>
      </c>
      <c r="B8" s="3" t="s">
        <v>46</v>
      </c>
    </row>
    <row r="9" spans="1:12" x14ac:dyDescent="0.25">
      <c r="A9" s="3" t="s">
        <v>11</v>
      </c>
      <c r="B9" s="3" t="s">
        <v>49</v>
      </c>
    </row>
    <row r="10" spans="1:12" x14ac:dyDescent="0.25">
      <c r="B10" s="3" t="s">
        <v>50</v>
      </c>
    </row>
    <row r="11" spans="1:12" ht="15.5" x14ac:dyDescent="0.35">
      <c r="A11" s="2" t="s">
        <v>192</v>
      </c>
    </row>
    <row r="12" spans="1:12" ht="14" x14ac:dyDescent="0.3">
      <c r="A12" s="43" t="s">
        <v>193</v>
      </c>
      <c r="B12" s="33"/>
      <c r="C12" s="33"/>
      <c r="D12" s="33"/>
      <c r="E12" s="33"/>
    </row>
    <row r="13" spans="1:12" ht="13" x14ac:dyDescent="0.3">
      <c r="A13" s="15"/>
      <c r="B13" s="33"/>
      <c r="C13" s="33"/>
      <c r="D13" s="33"/>
      <c r="E13" s="33"/>
    </row>
    <row r="14" spans="1:12" ht="14" x14ac:dyDescent="0.25">
      <c r="A14" s="34"/>
      <c r="B14" s="113" t="s">
        <v>46</v>
      </c>
      <c r="C14" s="114"/>
      <c r="D14" s="114"/>
      <c r="E14" s="45"/>
      <c r="F14" s="115" t="s">
        <v>185</v>
      </c>
      <c r="G14" s="116"/>
      <c r="H14" s="116"/>
      <c r="I14" s="98"/>
      <c r="J14" s="117" t="s">
        <v>186</v>
      </c>
      <c r="K14" s="118"/>
      <c r="L14" s="118"/>
    </row>
    <row r="15" spans="1:12" ht="13" x14ac:dyDescent="0.25">
      <c r="A15" s="35"/>
      <c r="B15" s="93">
        <v>2022</v>
      </c>
      <c r="C15" s="37">
        <v>2023</v>
      </c>
      <c r="D15" s="37">
        <v>2024</v>
      </c>
      <c r="E15" s="36"/>
      <c r="F15" s="89">
        <v>2022</v>
      </c>
      <c r="G15" s="89">
        <v>2023</v>
      </c>
      <c r="H15" s="89">
        <v>2024</v>
      </c>
      <c r="I15" s="93"/>
      <c r="J15" s="36">
        <v>2022</v>
      </c>
      <c r="K15" s="89">
        <v>2023</v>
      </c>
      <c r="L15" s="89">
        <v>2024</v>
      </c>
    </row>
    <row r="16" spans="1:12" ht="13" x14ac:dyDescent="0.3">
      <c r="A16" s="38" t="s">
        <v>117</v>
      </c>
      <c r="B16" s="99">
        <v>4</v>
      </c>
      <c r="C16" s="100">
        <v>-1.8</v>
      </c>
      <c r="D16" s="100">
        <v>-3.2</v>
      </c>
      <c r="E16" s="101"/>
      <c r="F16" s="102">
        <v>3.4</v>
      </c>
      <c r="G16" s="102">
        <v>5</v>
      </c>
      <c r="H16" s="102">
        <v>0.4</v>
      </c>
      <c r="I16" s="99"/>
      <c r="J16" s="101">
        <v>2.2999999999999998</v>
      </c>
      <c r="K16" s="102">
        <v>1.7</v>
      </c>
      <c r="L16" s="102">
        <v>-1.3</v>
      </c>
    </row>
    <row r="17" spans="1:12" ht="13" x14ac:dyDescent="0.3">
      <c r="A17" s="39" t="s">
        <v>152</v>
      </c>
      <c r="B17" s="103">
        <v>3.4</v>
      </c>
      <c r="C17" s="104">
        <v>-0.9</v>
      </c>
      <c r="D17" s="104">
        <v>-2.2000000000000002</v>
      </c>
      <c r="E17" s="105"/>
      <c r="F17" s="106">
        <v>3.3</v>
      </c>
      <c r="G17" s="106">
        <v>5.2</v>
      </c>
      <c r="H17" s="106">
        <v>0.9</v>
      </c>
      <c r="I17" s="103"/>
      <c r="J17" s="105">
        <v>2.1</v>
      </c>
      <c r="K17" s="106">
        <v>2.2999999999999998</v>
      </c>
      <c r="L17" s="106">
        <v>-1.2</v>
      </c>
    </row>
    <row r="18" spans="1:12" ht="13" x14ac:dyDescent="0.3">
      <c r="A18" s="20" t="s">
        <v>51</v>
      </c>
      <c r="B18" s="94">
        <v>-0.3</v>
      </c>
      <c r="C18" s="46">
        <v>-3.7</v>
      </c>
      <c r="D18" s="46">
        <v>-2.6</v>
      </c>
      <c r="E18" s="25"/>
      <c r="F18" s="65">
        <v>2.1</v>
      </c>
      <c r="G18" s="65">
        <v>5.4</v>
      </c>
      <c r="H18" s="65">
        <v>2</v>
      </c>
      <c r="I18" s="94"/>
      <c r="J18" s="25">
        <v>1.6</v>
      </c>
      <c r="K18" s="65">
        <v>0.9</v>
      </c>
      <c r="L18" s="65">
        <v>-0.5</v>
      </c>
    </row>
    <row r="19" spans="1:12" ht="13" x14ac:dyDescent="0.3">
      <c r="A19" s="21" t="s">
        <v>52</v>
      </c>
      <c r="B19" s="78">
        <v>0.1</v>
      </c>
      <c r="C19" s="47">
        <v>2.8</v>
      </c>
      <c r="D19" s="47">
        <v>-0.7</v>
      </c>
      <c r="E19" s="22"/>
      <c r="F19" s="63">
        <v>-0.5</v>
      </c>
      <c r="G19" s="63">
        <v>-10.199999999999999</v>
      </c>
      <c r="H19" s="63">
        <v>5</v>
      </c>
      <c r="I19" s="78"/>
      <c r="J19" s="22">
        <v>3.4</v>
      </c>
      <c r="K19" s="63">
        <v>1</v>
      </c>
      <c r="L19" s="63">
        <v>7.3</v>
      </c>
    </row>
    <row r="20" spans="1:12" ht="13" x14ac:dyDescent="0.3">
      <c r="A20" s="21" t="s">
        <v>107</v>
      </c>
      <c r="B20" s="78">
        <v>2.2000000000000002</v>
      </c>
      <c r="C20" s="47">
        <v>-5.5</v>
      </c>
      <c r="D20" s="47">
        <v>-4.2</v>
      </c>
      <c r="E20" s="22"/>
      <c r="F20" s="63">
        <v>5.3</v>
      </c>
      <c r="G20" s="63">
        <v>-4.3</v>
      </c>
      <c r="H20" s="63">
        <v>1</v>
      </c>
      <c r="I20" s="78"/>
      <c r="J20" s="22">
        <v>2.2000000000000002</v>
      </c>
      <c r="K20" s="63">
        <v>1.5</v>
      </c>
      <c r="L20" s="63">
        <v>-1.7</v>
      </c>
    </row>
    <row r="21" spans="1:12" ht="13" x14ac:dyDescent="0.3">
      <c r="A21" s="21" t="s">
        <v>53</v>
      </c>
      <c r="B21" s="78">
        <v>4.4000000000000004</v>
      </c>
      <c r="C21" s="47">
        <v>-0.9</v>
      </c>
      <c r="D21" s="47">
        <v>-1.4</v>
      </c>
      <c r="E21" s="22"/>
      <c r="F21" s="63">
        <v>12.3</v>
      </c>
      <c r="G21" s="63">
        <v>5.0999999999999996</v>
      </c>
      <c r="H21" s="63">
        <v>6.8</v>
      </c>
      <c r="I21" s="78"/>
      <c r="J21" s="22">
        <v>3.9</v>
      </c>
      <c r="K21" s="63">
        <v>-1</v>
      </c>
      <c r="L21" s="63">
        <v>0.3</v>
      </c>
    </row>
    <row r="22" spans="1:12" ht="13" x14ac:dyDescent="0.3">
      <c r="A22" s="21" t="s">
        <v>82</v>
      </c>
      <c r="B22" s="78">
        <v>-3.4</v>
      </c>
      <c r="C22" s="47">
        <v>-5.2</v>
      </c>
      <c r="D22" s="47">
        <v>-6.9</v>
      </c>
      <c r="E22" s="22"/>
      <c r="F22" s="63">
        <v>2.8</v>
      </c>
      <c r="G22" s="63">
        <v>0.8</v>
      </c>
      <c r="H22" s="63">
        <v>2.1</v>
      </c>
      <c r="I22" s="78"/>
      <c r="J22" s="22">
        <v>-3.3</v>
      </c>
      <c r="K22" s="63">
        <v>-0.3</v>
      </c>
      <c r="L22" s="63">
        <v>-3.5</v>
      </c>
    </row>
    <row r="23" spans="1:12" ht="13" x14ac:dyDescent="0.3">
      <c r="A23" s="21" t="s">
        <v>54</v>
      </c>
      <c r="B23" s="78" t="s">
        <v>45</v>
      </c>
      <c r="C23" s="47" t="s">
        <v>45</v>
      </c>
      <c r="D23" s="47" t="s">
        <v>45</v>
      </c>
      <c r="E23" s="22"/>
      <c r="F23" s="63" t="s">
        <v>45</v>
      </c>
      <c r="G23" s="63" t="s">
        <v>45</v>
      </c>
      <c r="H23" s="63" t="s">
        <v>45</v>
      </c>
      <c r="I23" s="78"/>
      <c r="J23" s="22" t="s">
        <v>45</v>
      </c>
      <c r="K23" s="63" t="s">
        <v>45</v>
      </c>
      <c r="L23" s="63" t="s">
        <v>45</v>
      </c>
    </row>
    <row r="24" spans="1:12" ht="13" x14ac:dyDescent="0.3">
      <c r="A24" s="21" t="s">
        <v>55</v>
      </c>
      <c r="B24" s="78" t="s">
        <v>45</v>
      </c>
      <c r="C24" s="47" t="s">
        <v>45</v>
      </c>
      <c r="D24" s="47" t="s">
        <v>45</v>
      </c>
      <c r="E24" s="22"/>
      <c r="F24" s="63" t="s">
        <v>45</v>
      </c>
      <c r="G24" s="63" t="s">
        <v>45</v>
      </c>
      <c r="H24" s="63" t="s">
        <v>45</v>
      </c>
      <c r="I24" s="78"/>
      <c r="J24" s="22" t="s">
        <v>45</v>
      </c>
      <c r="K24" s="63" t="s">
        <v>45</v>
      </c>
      <c r="L24" s="63" t="s">
        <v>45</v>
      </c>
    </row>
    <row r="25" spans="1:12" ht="13" x14ac:dyDescent="0.3">
      <c r="A25" s="21" t="s">
        <v>56</v>
      </c>
      <c r="B25" s="78" t="s">
        <v>45</v>
      </c>
      <c r="C25" s="47" t="s">
        <v>45</v>
      </c>
      <c r="D25" s="47" t="s">
        <v>45</v>
      </c>
      <c r="E25" s="22"/>
      <c r="F25" s="63">
        <v>24.9</v>
      </c>
      <c r="G25" s="63">
        <v>13.3</v>
      </c>
      <c r="H25" s="63">
        <v>28.4</v>
      </c>
      <c r="I25" s="78"/>
      <c r="J25" s="22" t="s">
        <v>45</v>
      </c>
      <c r="K25" s="63" t="s">
        <v>45</v>
      </c>
      <c r="L25" s="63" t="s">
        <v>45</v>
      </c>
    </row>
    <row r="26" spans="1:12" ht="13" x14ac:dyDescent="0.3">
      <c r="A26" s="21" t="s">
        <v>57</v>
      </c>
      <c r="B26" s="78">
        <v>-13.5</v>
      </c>
      <c r="C26" s="47">
        <v>5.7</v>
      </c>
      <c r="D26" s="47">
        <v>2.6</v>
      </c>
      <c r="E26" s="22"/>
      <c r="F26" s="63">
        <v>-2.4</v>
      </c>
      <c r="G26" s="63">
        <v>9.8000000000000007</v>
      </c>
      <c r="H26" s="63">
        <v>-6.5</v>
      </c>
      <c r="I26" s="78"/>
      <c r="J26" s="22">
        <v>5.0999999999999996</v>
      </c>
      <c r="K26" s="63">
        <v>0.7</v>
      </c>
      <c r="L26" s="63">
        <v>4.9000000000000004</v>
      </c>
    </row>
    <row r="27" spans="1:12" ht="13" x14ac:dyDescent="0.3">
      <c r="A27" s="21" t="s">
        <v>58</v>
      </c>
      <c r="B27" s="78">
        <v>-2</v>
      </c>
      <c r="C27" s="47">
        <v>-1.2</v>
      </c>
      <c r="D27" s="47">
        <v>-6.5</v>
      </c>
      <c r="E27" s="22"/>
      <c r="F27" s="63">
        <v>-7.2</v>
      </c>
      <c r="G27" s="63">
        <v>0.3</v>
      </c>
      <c r="H27" s="63">
        <v>-1.2</v>
      </c>
      <c r="I27" s="78"/>
      <c r="J27" s="22">
        <v>-2.7</v>
      </c>
      <c r="K27" s="63">
        <v>2</v>
      </c>
      <c r="L27" s="63">
        <v>-3.5</v>
      </c>
    </row>
    <row r="28" spans="1:12" ht="13" x14ac:dyDescent="0.3">
      <c r="A28" s="21" t="s">
        <v>59</v>
      </c>
      <c r="B28" s="78" t="s">
        <v>45</v>
      </c>
      <c r="C28" s="47" t="s">
        <v>45</v>
      </c>
      <c r="D28" s="47" t="s">
        <v>45</v>
      </c>
      <c r="E28" s="22"/>
      <c r="F28" s="63">
        <v>1.9</v>
      </c>
      <c r="G28" s="63" t="s">
        <v>45</v>
      </c>
      <c r="H28" s="63" t="s">
        <v>45</v>
      </c>
      <c r="I28" s="78"/>
      <c r="J28" s="22" t="s">
        <v>45</v>
      </c>
      <c r="K28" s="63" t="s">
        <v>45</v>
      </c>
      <c r="L28" s="63" t="s">
        <v>45</v>
      </c>
    </row>
    <row r="29" spans="1:12" ht="13" x14ac:dyDescent="0.3">
      <c r="A29" s="21" t="s">
        <v>60</v>
      </c>
      <c r="B29" s="95" t="s">
        <v>45</v>
      </c>
      <c r="C29" s="48" t="s">
        <v>45</v>
      </c>
      <c r="D29" s="48" t="s">
        <v>45</v>
      </c>
      <c r="E29" s="29"/>
      <c r="F29" s="90" t="s">
        <v>45</v>
      </c>
      <c r="G29" s="90" t="s">
        <v>45</v>
      </c>
      <c r="H29" s="90" t="s">
        <v>45</v>
      </c>
      <c r="I29" s="95"/>
      <c r="J29" s="29" t="s">
        <v>45</v>
      </c>
      <c r="K29" s="90" t="s">
        <v>45</v>
      </c>
      <c r="L29" s="90" t="s">
        <v>45</v>
      </c>
    </row>
    <row r="30" spans="1:12" ht="13" x14ac:dyDescent="0.3">
      <c r="A30" s="21" t="s">
        <v>61</v>
      </c>
      <c r="B30" s="78" t="s">
        <v>45</v>
      </c>
      <c r="C30" s="47" t="s">
        <v>45</v>
      </c>
      <c r="D30" s="47" t="s">
        <v>45</v>
      </c>
      <c r="E30" s="22"/>
      <c r="F30" s="63">
        <v>1.7</v>
      </c>
      <c r="G30" s="63">
        <v>3</v>
      </c>
      <c r="H30" s="63" t="s">
        <v>45</v>
      </c>
      <c r="I30" s="78"/>
      <c r="J30" s="22" t="s">
        <v>45</v>
      </c>
      <c r="K30" s="63" t="s">
        <v>45</v>
      </c>
      <c r="L30" s="63" t="s">
        <v>45</v>
      </c>
    </row>
    <row r="31" spans="1:12" ht="13" x14ac:dyDescent="0.3">
      <c r="A31" s="21" t="s">
        <v>62</v>
      </c>
      <c r="B31" s="78">
        <v>-9.8000000000000007</v>
      </c>
      <c r="C31" s="47">
        <v>26.8</v>
      </c>
      <c r="D31" s="47">
        <v>-19.5</v>
      </c>
      <c r="E31" s="22"/>
      <c r="F31" s="63">
        <v>-13.1</v>
      </c>
      <c r="G31" s="63">
        <v>10.8</v>
      </c>
      <c r="H31" s="63">
        <v>8.5</v>
      </c>
      <c r="I31" s="78"/>
      <c r="J31" s="22">
        <v>-11.3</v>
      </c>
      <c r="K31" s="63">
        <v>17.8</v>
      </c>
      <c r="L31" s="63">
        <v>0.5</v>
      </c>
    </row>
    <row r="32" spans="1:12" ht="13" x14ac:dyDescent="0.3">
      <c r="A32" s="21" t="s">
        <v>63</v>
      </c>
      <c r="B32" s="78" t="s">
        <v>45</v>
      </c>
      <c r="C32" s="47" t="s">
        <v>45</v>
      </c>
      <c r="D32" s="47" t="s">
        <v>45</v>
      </c>
      <c r="E32" s="22"/>
      <c r="F32" s="63">
        <v>4</v>
      </c>
      <c r="G32" s="63">
        <v>21.6</v>
      </c>
      <c r="H32" s="63">
        <v>19.3</v>
      </c>
      <c r="I32" s="78"/>
      <c r="J32" s="22" t="s">
        <v>45</v>
      </c>
      <c r="K32" s="63" t="s">
        <v>45</v>
      </c>
      <c r="L32" s="63" t="s">
        <v>45</v>
      </c>
    </row>
    <row r="33" spans="1:12" ht="13" x14ac:dyDescent="0.3">
      <c r="A33" s="21" t="s">
        <v>64</v>
      </c>
      <c r="B33" s="95" t="s">
        <v>45</v>
      </c>
      <c r="C33" s="48" t="s">
        <v>45</v>
      </c>
      <c r="D33" s="48" t="s">
        <v>45</v>
      </c>
      <c r="E33" s="29"/>
      <c r="F33" s="90" t="s">
        <v>45</v>
      </c>
      <c r="G33" s="90" t="s">
        <v>45</v>
      </c>
      <c r="H33" s="90" t="s">
        <v>45</v>
      </c>
      <c r="I33" s="95"/>
      <c r="J33" s="29" t="s">
        <v>45</v>
      </c>
      <c r="K33" s="90" t="s">
        <v>45</v>
      </c>
      <c r="L33" s="90" t="s">
        <v>45</v>
      </c>
    </row>
    <row r="34" spans="1:12" ht="13" x14ac:dyDescent="0.3">
      <c r="A34" s="21" t="s">
        <v>65</v>
      </c>
      <c r="B34" s="78">
        <v>1.9</v>
      </c>
      <c r="C34" s="47">
        <v>-2.6</v>
      </c>
      <c r="D34" s="47">
        <v>-7.7</v>
      </c>
      <c r="E34" s="22"/>
      <c r="F34" s="63">
        <v>-6</v>
      </c>
      <c r="G34" s="63">
        <v>2.2999999999999998</v>
      </c>
      <c r="H34" s="63">
        <v>-15.4</v>
      </c>
      <c r="I34" s="78"/>
      <c r="J34" s="22">
        <v>6.2</v>
      </c>
      <c r="K34" s="63">
        <v>-10</v>
      </c>
      <c r="L34" s="63">
        <v>10.8</v>
      </c>
    </row>
    <row r="35" spans="1:12" ht="13" x14ac:dyDescent="0.3">
      <c r="A35" s="21" t="s">
        <v>66</v>
      </c>
      <c r="B35" s="95" t="s">
        <v>45</v>
      </c>
      <c r="C35" s="48" t="s">
        <v>45</v>
      </c>
      <c r="D35" s="48" t="s">
        <v>45</v>
      </c>
      <c r="E35" s="29"/>
      <c r="F35" s="90" t="s">
        <v>45</v>
      </c>
      <c r="G35" s="90" t="s">
        <v>45</v>
      </c>
      <c r="H35" s="90" t="s">
        <v>45</v>
      </c>
      <c r="I35" s="95"/>
      <c r="J35" s="29" t="s">
        <v>45</v>
      </c>
      <c r="K35" s="90" t="s">
        <v>45</v>
      </c>
      <c r="L35" s="90" t="s">
        <v>45</v>
      </c>
    </row>
    <row r="36" spans="1:12" ht="13" x14ac:dyDescent="0.3">
      <c r="A36" s="21" t="s">
        <v>67</v>
      </c>
      <c r="B36" s="95">
        <v>10.1</v>
      </c>
      <c r="C36" s="48">
        <v>-3.1</v>
      </c>
      <c r="D36" s="48">
        <v>-1.8</v>
      </c>
      <c r="E36" s="29"/>
      <c r="F36" s="90">
        <v>0.3</v>
      </c>
      <c r="G36" s="90">
        <v>19.7</v>
      </c>
      <c r="H36" s="90">
        <v>0.6</v>
      </c>
      <c r="I36" s="95"/>
      <c r="J36" s="29">
        <v>7.6</v>
      </c>
      <c r="K36" s="90">
        <v>3.7</v>
      </c>
      <c r="L36" s="90">
        <v>-4.0999999999999996</v>
      </c>
    </row>
    <row r="37" spans="1:12" ht="13" x14ac:dyDescent="0.3">
      <c r="A37" s="21" t="s">
        <v>68</v>
      </c>
      <c r="B37" s="78">
        <v>-3</v>
      </c>
      <c r="C37" s="47">
        <v>-12.5</v>
      </c>
      <c r="D37" s="47">
        <v>-9.1</v>
      </c>
      <c r="E37" s="22"/>
      <c r="F37" s="63">
        <v>8.5</v>
      </c>
      <c r="G37" s="63">
        <v>4.5</v>
      </c>
      <c r="H37" s="63">
        <v>-2.8</v>
      </c>
      <c r="I37" s="78"/>
      <c r="J37" s="22">
        <v>2.5</v>
      </c>
      <c r="K37" s="63">
        <v>4.5</v>
      </c>
      <c r="L37" s="63">
        <v>1.2</v>
      </c>
    </row>
    <row r="38" spans="1:12" ht="13" x14ac:dyDescent="0.3">
      <c r="A38" s="21" t="s">
        <v>69</v>
      </c>
      <c r="B38" s="78">
        <v>17.100000000000001</v>
      </c>
      <c r="C38" s="47">
        <v>-2.6</v>
      </c>
      <c r="D38" s="47">
        <v>-11</v>
      </c>
      <c r="E38" s="22"/>
      <c r="F38" s="63">
        <v>3.2</v>
      </c>
      <c r="G38" s="63">
        <v>12.4</v>
      </c>
      <c r="H38" s="63">
        <v>-5.3</v>
      </c>
      <c r="I38" s="78"/>
      <c r="J38" s="22">
        <v>4</v>
      </c>
      <c r="K38" s="63">
        <v>2.8</v>
      </c>
      <c r="L38" s="63">
        <v>-7.8</v>
      </c>
    </row>
    <row r="39" spans="1:12" ht="13" x14ac:dyDescent="0.3">
      <c r="A39" s="21" t="s">
        <v>70</v>
      </c>
      <c r="B39" s="78">
        <v>0.4</v>
      </c>
      <c r="C39" s="47">
        <v>4.7</v>
      </c>
      <c r="D39" s="47">
        <v>2.9</v>
      </c>
      <c r="E39" s="22"/>
      <c r="F39" s="63">
        <v>1.5</v>
      </c>
      <c r="G39" s="63">
        <v>4.0999999999999996</v>
      </c>
      <c r="H39" s="63">
        <v>-1.5</v>
      </c>
      <c r="I39" s="78"/>
      <c r="J39" s="22">
        <v>5.4</v>
      </c>
      <c r="K39" s="63">
        <v>8.6999999999999993</v>
      </c>
      <c r="L39" s="63">
        <v>1.7</v>
      </c>
    </row>
    <row r="40" spans="1:12" ht="13" x14ac:dyDescent="0.3">
      <c r="A40" s="21" t="s">
        <v>71</v>
      </c>
      <c r="B40" s="78" t="s">
        <v>45</v>
      </c>
      <c r="C40" s="47" t="s">
        <v>45</v>
      </c>
      <c r="D40" s="47" t="s">
        <v>45</v>
      </c>
      <c r="E40" s="22"/>
      <c r="F40" s="63" t="s">
        <v>45</v>
      </c>
      <c r="G40" s="63" t="s">
        <v>45</v>
      </c>
      <c r="H40" s="63" t="s">
        <v>45</v>
      </c>
      <c r="I40" s="78"/>
      <c r="J40" s="22" t="s">
        <v>45</v>
      </c>
      <c r="K40" s="63" t="s">
        <v>45</v>
      </c>
      <c r="L40" s="63" t="s">
        <v>45</v>
      </c>
    </row>
    <row r="41" spans="1:12" ht="13" x14ac:dyDescent="0.3">
      <c r="A41" s="21" t="s">
        <v>72</v>
      </c>
      <c r="B41" s="78">
        <v>53.4</v>
      </c>
      <c r="C41" s="47">
        <v>10.6</v>
      </c>
      <c r="D41" s="47">
        <v>-12.6</v>
      </c>
      <c r="E41" s="22"/>
      <c r="F41" s="63">
        <v>13.4</v>
      </c>
      <c r="G41" s="63">
        <v>19.5</v>
      </c>
      <c r="H41" s="63">
        <v>-13</v>
      </c>
      <c r="I41" s="78"/>
      <c r="J41" s="22">
        <v>-13.4</v>
      </c>
      <c r="K41" s="63">
        <v>30.7</v>
      </c>
      <c r="L41" s="63">
        <v>-3</v>
      </c>
    </row>
    <row r="42" spans="1:12" ht="13" x14ac:dyDescent="0.3">
      <c r="A42" s="21" t="s">
        <v>73</v>
      </c>
      <c r="B42" s="78">
        <v>0.3</v>
      </c>
      <c r="C42" s="47">
        <v>-4.4000000000000004</v>
      </c>
      <c r="D42" s="47">
        <v>-2.2000000000000002</v>
      </c>
      <c r="E42" s="22"/>
      <c r="F42" s="63">
        <v>-1.5</v>
      </c>
      <c r="G42" s="63">
        <v>12</v>
      </c>
      <c r="H42" s="63">
        <v>-12.2</v>
      </c>
      <c r="I42" s="78"/>
      <c r="J42" s="22">
        <v>-32.5</v>
      </c>
      <c r="K42" s="63">
        <v>9.9</v>
      </c>
      <c r="L42" s="63">
        <v>-3.4</v>
      </c>
    </row>
    <row r="43" spans="1:12" ht="13" x14ac:dyDescent="0.3">
      <c r="A43" s="40" t="s">
        <v>74</v>
      </c>
      <c r="B43" s="91">
        <v>1</v>
      </c>
      <c r="C43" s="50">
        <v>-14.6</v>
      </c>
      <c r="D43" s="50">
        <v>-7.1</v>
      </c>
      <c r="E43" s="49"/>
      <c r="F43" s="68">
        <v>-4.3</v>
      </c>
      <c r="G43" s="68">
        <v>-2.2000000000000002</v>
      </c>
      <c r="H43" s="68">
        <v>5</v>
      </c>
      <c r="I43" s="91"/>
      <c r="J43" s="49">
        <v>3.5</v>
      </c>
      <c r="K43" s="68">
        <v>-4.2</v>
      </c>
      <c r="L43" s="68">
        <v>0.1</v>
      </c>
    </row>
    <row r="44" spans="1:12" ht="13" x14ac:dyDescent="0.3">
      <c r="A44" s="26" t="s">
        <v>75</v>
      </c>
      <c r="B44" s="96">
        <v>-1.5</v>
      </c>
      <c r="C44" s="51">
        <v>-14</v>
      </c>
      <c r="D44" s="51">
        <v>-8.5</v>
      </c>
      <c r="E44" s="27"/>
      <c r="F44" s="66">
        <v>5.3</v>
      </c>
      <c r="G44" s="66">
        <v>2.6</v>
      </c>
      <c r="H44" s="66">
        <v>2.2000000000000002</v>
      </c>
      <c r="I44" s="96"/>
      <c r="J44" s="27">
        <v>1.8</v>
      </c>
      <c r="K44" s="66">
        <v>-5.5</v>
      </c>
      <c r="L44" s="66">
        <v>-3.7</v>
      </c>
    </row>
    <row r="45" spans="1:12" ht="13" x14ac:dyDescent="0.3">
      <c r="A45" s="15" t="s">
        <v>76</v>
      </c>
      <c r="B45" s="97">
        <v>4.5</v>
      </c>
      <c r="C45" s="52">
        <v>-1.8</v>
      </c>
      <c r="D45" s="52">
        <v>-6.7</v>
      </c>
      <c r="E45" s="28"/>
      <c r="F45" s="67">
        <v>1.9</v>
      </c>
      <c r="G45" s="67">
        <v>-7.5</v>
      </c>
      <c r="H45" s="67">
        <v>1.9</v>
      </c>
      <c r="I45" s="97"/>
      <c r="J45" s="28">
        <v>4.5</v>
      </c>
      <c r="K45" s="67">
        <v>1.4</v>
      </c>
      <c r="L45" s="67">
        <v>-0.4</v>
      </c>
    </row>
    <row r="46" spans="1:12" ht="13" x14ac:dyDescent="0.3">
      <c r="A46" s="26" t="s">
        <v>77</v>
      </c>
      <c r="B46" s="96">
        <v>-3.4</v>
      </c>
      <c r="C46" s="51">
        <v>-7.6</v>
      </c>
      <c r="D46" s="51">
        <v>-5.9</v>
      </c>
      <c r="E46" s="27"/>
      <c r="F46" s="66">
        <v>-10.6</v>
      </c>
      <c r="G46" s="66">
        <v>-3.6</v>
      </c>
      <c r="H46" s="66">
        <v>8.4</v>
      </c>
      <c r="I46" s="96"/>
      <c r="J46" s="27">
        <v>-3.9</v>
      </c>
      <c r="K46" s="66">
        <v>0.2</v>
      </c>
      <c r="L46" s="68">
        <v>3.2</v>
      </c>
    </row>
    <row r="47" spans="1:12" ht="13" x14ac:dyDescent="0.3">
      <c r="A47" s="40" t="s">
        <v>78</v>
      </c>
      <c r="B47" s="91" t="s">
        <v>45</v>
      </c>
      <c r="C47" s="50" t="s">
        <v>45</v>
      </c>
      <c r="D47" s="50" t="s">
        <v>45</v>
      </c>
      <c r="E47" s="49"/>
      <c r="F47" s="68">
        <v>-3.1</v>
      </c>
      <c r="G47" s="68">
        <v>-21.4</v>
      </c>
      <c r="H47" s="91">
        <v>-2.2000000000000002</v>
      </c>
      <c r="I47" s="28"/>
      <c r="J47" s="68" t="s">
        <v>45</v>
      </c>
      <c r="K47" s="68" t="s">
        <v>45</v>
      </c>
      <c r="L47" s="65" t="s">
        <v>45</v>
      </c>
    </row>
    <row r="48" spans="1:12" ht="13" x14ac:dyDescent="0.3">
      <c r="A48" s="40" t="s">
        <v>108</v>
      </c>
      <c r="B48" s="91">
        <v>-4.2</v>
      </c>
      <c r="C48" s="50">
        <v>-11.4</v>
      </c>
      <c r="D48" s="50">
        <v>1.4</v>
      </c>
      <c r="E48" s="49"/>
      <c r="F48" s="68">
        <v>-19.3</v>
      </c>
      <c r="G48" s="68">
        <v>5.3</v>
      </c>
      <c r="H48" s="91">
        <v>33.1</v>
      </c>
      <c r="I48" s="49"/>
      <c r="J48" s="68">
        <v>-16</v>
      </c>
      <c r="K48" s="68">
        <v>7.9</v>
      </c>
      <c r="L48" s="63">
        <v>4.5</v>
      </c>
    </row>
    <row r="49" spans="1:12" ht="13" x14ac:dyDescent="0.3">
      <c r="A49" s="40" t="s">
        <v>79</v>
      </c>
      <c r="B49" s="91">
        <v>26.6</v>
      </c>
      <c r="C49" s="50">
        <v>-3.2</v>
      </c>
      <c r="D49" s="50">
        <v>-1.6</v>
      </c>
      <c r="E49" s="49"/>
      <c r="F49" s="68">
        <v>-15.4</v>
      </c>
      <c r="G49" s="68">
        <v>11.1</v>
      </c>
      <c r="H49" s="91">
        <v>6.7</v>
      </c>
      <c r="I49" s="49"/>
      <c r="J49" s="68">
        <v>27.1</v>
      </c>
      <c r="K49" s="68">
        <v>6.1</v>
      </c>
      <c r="L49" s="63">
        <v>39.299999999999997</v>
      </c>
    </row>
    <row r="50" spans="1:12" ht="13" x14ac:dyDescent="0.3">
      <c r="A50" s="23" t="s">
        <v>183</v>
      </c>
      <c r="B50" s="92">
        <v>-1.9</v>
      </c>
      <c r="C50" s="57">
        <v>12.3</v>
      </c>
      <c r="D50" s="57">
        <v>18.2</v>
      </c>
      <c r="E50" s="24"/>
      <c r="F50" s="64">
        <v>-23</v>
      </c>
      <c r="G50" s="64">
        <v>-8.1</v>
      </c>
      <c r="H50" s="92">
        <v>9.5</v>
      </c>
      <c r="I50" s="24"/>
      <c r="J50" s="64">
        <v>-4.3</v>
      </c>
      <c r="K50" s="64">
        <v>6.3</v>
      </c>
      <c r="L50" s="66">
        <v>5.9</v>
      </c>
    </row>
    <row r="51" spans="1:12" ht="15" customHeight="1" x14ac:dyDescent="0.25">
      <c r="A51" s="44" t="s">
        <v>83</v>
      </c>
    </row>
    <row r="52" spans="1:12" ht="15.75" customHeight="1" x14ac:dyDescent="0.3">
      <c r="A52" s="41" t="s">
        <v>154</v>
      </c>
    </row>
    <row r="54" spans="1:12" ht="13" x14ac:dyDescent="0.3">
      <c r="A54" s="112" t="s">
        <v>196</v>
      </c>
    </row>
    <row r="55" spans="1:12" ht="14" x14ac:dyDescent="0.3">
      <c r="A55" s="32" t="s">
        <v>199</v>
      </c>
      <c r="B55" s="109" t="s">
        <v>195</v>
      </c>
    </row>
    <row r="56" spans="1:12" ht="14" x14ac:dyDescent="0.3">
      <c r="A56" s="109"/>
    </row>
  </sheetData>
  <mergeCells count="3">
    <mergeCell ref="B14:D14"/>
    <mergeCell ref="F14:H14"/>
    <mergeCell ref="J14:L14"/>
  </mergeCells>
  <hyperlinks>
    <hyperlink ref="B55" r:id="rId1" xr:uid="{272B9B33-BBCE-494D-B10D-18E28C5C9A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1</vt:lpstr>
      <vt:lpstr>Figure 2</vt:lpstr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JAEGERS Thomas (ESTAT)</dc:creator>
  <cp:lastModifiedBy>KARPINSKA Karina Joanna (ESTAT-EXT)</cp:lastModifiedBy>
  <dcterms:created xsi:type="dcterms:W3CDTF">2018-03-27T10:43:49Z</dcterms:created>
  <dcterms:modified xsi:type="dcterms:W3CDTF">2025-10-21T13:04:14Z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2023-10-19T10:22:29Z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c9938ace-f45d-477c-a673-34ef08cb043e</vt:lpwstr>
  </property>
  <property fmtid="{D5CDD505-2E9C-101B-9397-08002B2CF9AE}" pid="8" name="MSIP_Label_6bd9ddd1-4d20-43f6-abfa-fc3c07406f94_ContentBits">
    <vt:lpwstr>0</vt:lpwstr>
  </property>
</Properties>
</file>