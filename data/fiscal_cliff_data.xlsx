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scal Cliff Timeline" sheetId="1" state="visible" r:id="rId3"/>
    <sheet name="YoY Analysis" sheetId="2" state="visible" r:id="rId4"/>
    <sheet name="Chart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<sst xmlns="http://schemas.openxmlformats.org/spreadsheetml/2006/main" count="79" uniqueCount="68">
  <si>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Year</t>
  </si>
  <si>
    <t xml:space="preserve">PNRR Funds (€bn)</t>
  </si>
  <si>
    <t xml:space="preserve">Anghel Saligny (€bn)</t>
  </si>
  <si>
    <t xml:space="preserve">Total EU Funding (€bn)</t>
  </si>
  <si>
    <t xml:space="preserve">Budget Deficit (% GDP)</t>
  </si>
  <si>
    <t xml:space="preserve">Phase</t>
  </si>
  <si>
    <t xml:space="preserve">2022</t>
  </si>
  <si>
    <t xml:space="preserve">Buildup</t>
  </si>
  <si>
    <t xml:space="preserve">2023</t>
  </si>
  <si>
    <t xml:space="preserve">2024</t>
  </si>
  <si>
    <t xml:space="preserve">Peak</t>
  </si>
  <si>
    <t xml:space="preserve">2025</t>
  </si>
  <si>
    <t xml:space="preserve">2026</t>
  </si>
  <si>
    <t xml:space="preserve">Cliff Edge</t>
  </si>
  <si>
    <t xml:space="preserve">2027</t>
  </si>
  <si>
    <t xml:space="preserve">Air Pocket</t>
  </si>
  <si>
    <t xml:space="preserve">2028</t>
  </si>
  <si>
    <t xml:space="preserve">Key Metrics:</t>
  </si>
  <si>
    <t xml:space="preserve">Peak EU Funding (2024):</t>
  </si>
  <si>
    <t xml:space="preserve">Cliff Edge Drop (2025→2026):</t>
  </si>
  <si>
    <t xml:space="preserve">Total Funding Lost (2026→2027):</t>
  </si>
  <si>
    <t xml:space="preserve">Peak Budget Deficit:</t>
  </si>
  <si>
    <t xml:space="preserve">Deficit vs EU Limit (3%):</t>
  </si>
  <si>
    <t xml:space="preserve">Critical Observations:</t>
  </si>
  <si>
    <t xml:space="preserve">• PNRR (National Recovery and Resilience Plan): EU post-COVID recovery funds</t>
  </si>
  <si>
    <t xml:space="preserve">• Anghel Saligny: Romanian government infrastructure program</t>
  </si>
  <si>
    <t xml:space="preserve">• July 2026: PNRR program officially expires</t>
  </si>
  <si>
    <t xml:space="preserve">• 2027-2028: "Air Pocket" - Zero EU inflows while deficit remains elevated</t>
  </si>
  <si>
    <t xml:space="preserve">• Budget deficit 2025/2026: 7.7-8.0% GDP vs EU reference value of 3.0%</t>
  </si>
  <si>
    <t xml:space="preserve">• No fiscal room to replace lost stimulus - deficit already 2.6x over EU limit</t>
  </si>
  <si>
    <t xml:space="preserve">Total Funding (€bn)</t>
  </si>
  <si>
    <t xml:space="preserve">YoY Change (€bn)</t>
  </si>
  <si>
    <t xml:space="preserve">YoY Change (%)</t>
  </si>
  <si>
    <t xml:space="preserve">Budget Deficit</t>
  </si>
  <si>
    <t xml:space="preserve">Critical Year-over-Year Analysis:</t>
  </si>
  <si>
    <t xml:space="preserve">Largest Single-Year Drop:</t>
  </si>
  <si>
    <t xml:space="preserve">(2025→2026)</t>
  </si>
  <si>
    <t xml:space="preserve">Percentage Collapse (2025→2026):</t>
  </si>
  <si>
    <t xml:space="preserve">How to Create the Fiscal Cliff Chart in Excel</t>
  </si>
  <si>
    <t xml:space="preserve">BAR/LINE COMBO CHART (EU Funding + Budget Deficit):</t>
  </si>
  <si>
    <t xml:space="preserve">1. Go to "Fiscal Cliff Timeline" sheet</t>
  </si>
  <si>
    <t xml:space="preserve">2. Select data range A1:E8 (Year through Budget Deficit)</t>
  </si>
  <si>
    <t xml:space="preserve">3. Insert → Charts → Combo Chart</t>
  </si>
  <si>
    <t xml:space="preserve">4. Set up the series:</t>
  </si>
  <si>
    <t xml:space="preserve">   - PNRR Funds: Clustered Column (or Stacked Column)</t>
  </si>
  <si>
    <t xml:space="preserve">   - Anghel Saligny: Clustered Column (or Stacked Column)</t>
  </si>
  <si>
    <t xml:space="preserve">   - Budget Deficit: Line with Markers, Secondary Axis</t>
  </si>
  <si>
    <t xml:space="preserve">5. Format the chart:</t>
  </si>
  <si>
    <t xml:space="preserve">   - Left axis: EU Funding in € billions (0-10)</t>
  </si>
  <si>
    <t xml:space="preserve">   - Right axis: Budget Deficit % GDP (0-10%)</t>
  </si>
  <si>
    <t xml:space="preserve">   - Add a horizontal reference line at 3.0% (EU limit) on the right axis</t>
  </si>
  <si>
    <t xml:space="preserve">6. Color coding recommendations:</t>
  </si>
  <si>
    <t xml:space="preserve">   - PNRR: Green (#10b981)</t>
  </si>
  <si>
    <t xml:space="preserve">   - Anghel Saligny: Cyan (#06b6d4)</t>
  </si>
  <si>
    <t xml:space="preserve">   - Budget Deficit Line: Red (#ef4444)</t>
  </si>
  <si>
    <t xml:space="preserve">   - Highlight 2026 bars in amber/orange to show cliff edge</t>
  </si>
  <si>
    <t xml:space="preserve">   - Highlight 2027-2028 bars in dark red to show air pocket</t>
  </si>
  <si>
    <t xml:space="preserve">7. Add chart title: "Romania's Fiscal Cliff: EU Funding vs Budget Deficit (2022-2028)"</t>
  </si>
  <si>
    <t xml:space="preserve">8. Add data labels on the 2026 cliff edge to emphasize the drop</t>
  </si>
  <si>
    <t xml:space="preserve">ALTERNATIVE CHART OPTION - STACKED BARS:</t>
  </si>
  <si>
    <t xml:space="preserve">- Stack PNRR and Anghel Saligny on top of each other</t>
  </si>
  <si>
    <t xml:space="preserve">- This better shows total EU funding collapse from 6.7bn → 3.1bn → 0bn</t>
  </si>
  <si>
    <t xml:space="preserve">- Makes the "air pocket" visually dramatic</t>
  </si>
  <si>
    <t xml:space="preserve">KEY INSIGHTS TO HIGHLIGHT:</t>
  </si>
  <si>
    <t xml:space="preserve">• 2026: Funding drops 54% (from €6.7bn to €3.1bn)</t>
  </si>
  <si>
    <t xml:space="preserve">• 2027-2028: Zero EU funding ("air pocket")</t>
  </si>
  <si>
    <t xml:space="preserve">• Budget deficit peaks at 8.0% - 2.6x over EU 3% limit</t>
  </si>
  <si>
    <t xml:space="preserve">• No fiscal room to replace lost stimulus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</si>
</sst>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€0.0&quot; bn&quot;"/>
    <numFmt numFmtId="167" formatCode="0.0%"/>
    <numFmt numFmtId="168" formatCode="0.0\%"/>
    <numFmt numFmtId="169" formatCode="0.0&quot;x over limit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1F478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FFC000"/>
        <bgColor rgb="FFFF9900"/>
      </patternFill>
    </fill>
    <fill>
      <patternFill patternType="solid">
        <fgColor rgb="FFFF6B6B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2" t="n">
        <v>2.8</v>
      </c>
      <c r="C2" s="2" t="n">
        <v>1.2</v>
      </c>
      <c r="D2" s="2" t="n">
        <f aca="false">B2+C2</f>
        <v>4</v>
      </c>
      <c r="E2" s="2" t="n">
        <v>5.7</v>
      </c>
      <c r="F2" s="3" t="s">
        <v>7</v>
      </c>
    </row>
    <row r="3" customFormat="false" ht="15" hidden="false" customHeight="false" outlineLevel="0" collapsed="false">
      <c r="A3" s="0" t="s">
        <v>8</v>
      </c>
      <c r="B3" s="2" t="n">
        <v>4.2</v>
      </c>
      <c r="C3" s="2" t="n">
        <v>1.8</v>
      </c>
      <c r="D3" s="2" t="n">
        <f aca="false">B3+C3</f>
        <v>6</v>
      </c>
      <c r="E3" s="2" t="n">
        <v>6.2</v>
      </c>
      <c r="F3" s="3" t="s">
        <v>7</v>
      </c>
    </row>
    <row r="4" customFormat="false" ht="15" hidden="false" customHeight="false" outlineLevel="0" collapsed="false">
      <c r="A4" s="0" t="s">
        <v>9</v>
      </c>
      <c r="B4" s="2" t="n">
        <v>5.1</v>
      </c>
      <c r="C4" s="2" t="n">
        <v>2.1</v>
      </c>
      <c r="D4" s="2" t="n">
        <f aca="false">B4+C4</f>
        <v>7.2</v>
      </c>
      <c r="E4" s="2" t="n">
        <v>7</v>
      </c>
      <c r="F4" s="3" t="s">
        <v>10</v>
      </c>
    </row>
    <row r="5" customFormat="false" ht="15" hidden="false" customHeight="false" outlineLevel="0" collapsed="false">
      <c r="A5" s="0" t="s">
        <v>11</v>
      </c>
      <c r="B5" s="2" t="n">
        <v>4.8</v>
      </c>
      <c r="C5" s="2" t="n">
        <v>1.9</v>
      </c>
      <c r="D5" s="2" t="n">
        <f aca="false">B5+C5</f>
        <v>6.7</v>
      </c>
      <c r="E5" s="2" t="n">
        <v>7.7</v>
      </c>
      <c r="F5" s="3" t="s">
        <v>10</v>
      </c>
    </row>
    <row r="6" customFormat="false" ht="15" hidden="false" customHeight="false" outlineLevel="0" collapsed="false">
      <c r="A6" s="4" t="s">
        <v>12</v>
      </c>
      <c r="B6" s="5" t="n">
        <v>2.3</v>
      </c>
      <c r="C6" s="5" t="n">
        <v>0.8</v>
      </c>
      <c r="D6" s="5" t="n">
        <f aca="false">B6+C6</f>
        <v>3.1</v>
      </c>
      <c r="E6" s="5" t="n">
        <v>8</v>
      </c>
      <c r="F6" s="4" t="s">
        <v>13</v>
      </c>
    </row>
    <row r="7" customFormat="false" ht="15" hidden="false" customHeight="false" outlineLevel="0" collapsed="false">
      <c r="A7" s="6" t="s">
        <v>14</v>
      </c>
      <c r="B7" s="7" t="n">
        <v>0</v>
      </c>
      <c r="C7" s="7" t="n">
        <v>0</v>
      </c>
      <c r="D7" s="7" t="n">
        <f aca="false">B7+C7</f>
        <v>0</v>
      </c>
      <c r="E7" s="7" t="n">
        <v>6.8</v>
      </c>
      <c r="F7" s="6" t="s">
        <v>15</v>
      </c>
    </row>
    <row r="8" customFormat="false" ht="15" hidden="false" customHeight="false" outlineLevel="0" collapsed="false">
      <c r="A8" s="6" t="s">
        <v>16</v>
      </c>
      <c r="B8" s="7" t="n">
        <v>0</v>
      </c>
      <c r="C8" s="7" t="n">
        <v>0</v>
      </c>
      <c r="D8" s="7" t="n">
        <f aca="false">B8+C8</f>
        <v>0</v>
      </c>
      <c r="E8" s="7" t="n">
        <v>5.9</v>
      </c>
      <c r="F8" s="6" t="s">
        <v>15</v>
      </c>
    </row>
    <row r="10" customFormat="false" ht="15" hidden="false" customHeight="false" outlineLevel="0" collapsed="false">
      <c r="A10" s="8" t="s">
        <v>17</v>
      </c>
    </row>
    <row r="11" customFormat="false" ht="15" hidden="false" customHeight="false" outlineLevel="0" collapsed="false">
      <c r="A11" s="0" t="s">
        <v>18</v>
      </c>
      <c r="B11" s="9" t="n">
        <f aca="false">MAX(D2:D8)</f>
        <v>7.2</v>
      </c>
    </row>
    <row r="12" customFormat="false" ht="15" hidden="false" customHeight="false" outlineLevel="0" collapsed="false">
      <c r="A12" s="0" t="s">
        <v>19</v>
      </c>
      <c r="B12" s="10" t="n">
        <f aca="false">(D5-D6)/D5</f>
        <v>0.537313432835821</v>
      </c>
    </row>
    <row r="13" customFormat="false" ht="15" hidden="false" customHeight="false" outlineLevel="0" collapsed="false">
      <c r="A13" s="0" t="s">
        <v>20</v>
      </c>
      <c r="B13" s="11" t="n">
        <f aca="false">D6-D7</f>
        <v>3.1</v>
      </c>
    </row>
    <row r="14" customFormat="false" ht="15" hidden="false" customHeight="false" outlineLevel="0" collapsed="false">
      <c r="A14" s="0" t="s">
        <v>21</v>
      </c>
      <c r="B14" s="12" t="n">
        <f aca="false">MAX(E2:E8)</f>
        <v>8</v>
      </c>
    </row>
    <row r="15" customFormat="false" ht="15" hidden="false" customHeight="false" outlineLevel="0" collapsed="false">
      <c r="A15" s="0" t="s">
        <v>22</v>
      </c>
      <c r="B15" s="13" t="n">
        <f aca="false">B14/3</f>
        <v>2.66666666666667</v>
      </c>
    </row>
    <row r="17" customFormat="false" ht="15" hidden="false" customHeight="false" outlineLevel="0" collapsed="false">
      <c r="A17" s="14" t="s">
        <v>23</v>
      </c>
    </row>
    <row r="18" customFormat="false" ht="15" hidden="false" customHeight="true" outlineLevel="0" collapsed="false">
      <c r="A18" s="15" t="s">
        <v>24</v>
      </c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5" t="s">
        <v>25</v>
      </c>
      <c r="B19" s="15"/>
      <c r="C19" s="15"/>
      <c r="D19" s="15"/>
      <c r="E19" s="15"/>
      <c r="F19" s="15"/>
    </row>
    <row r="20" customFormat="false" ht="15" hidden="false" customHeight="true" outlineLevel="0" collapsed="false">
      <c r="A20" s="15" t="s">
        <v>26</v>
      </c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5" t="s">
        <v>27</v>
      </c>
      <c r="B21" s="15"/>
      <c r="C21" s="15"/>
      <c r="D21" s="15"/>
      <c r="E21" s="15"/>
      <c r="F21" s="15"/>
    </row>
    <row r="22" customFormat="false" ht="15" hidden="false" customHeight="true" outlineLevel="0" collapsed="false">
      <c r="A22" s="15" t="s">
        <v>28</v>
      </c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5" t="s">
        <v>29</v>
      </c>
      <c r="B23" s="15"/>
      <c r="C23" s="15"/>
      <c r="D23" s="15"/>
      <c r="E23" s="15"/>
      <c r="F23" s="15"/>
    </row>
  </sheetData>
  <mergeCells count="6"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5" hidden="false" customHeight="false" outlineLevel="0" collapsed="false">
      <c r="A2" s="0" t="s">
        <v>6</v>
      </c>
      <c r="B2" s="2" t="n">
        <f aca="false">'Fiscal Cliff Timeline'!D2</f>
        <v>4</v>
      </c>
      <c r="C2" s="2"/>
      <c r="D2" s="16"/>
      <c r="E2" s="16" t="n">
        <f aca="false">'Fiscal Cliff Timeline'!E2</f>
        <v>5.7</v>
      </c>
    </row>
    <row r="3" customFormat="false" ht="15" hidden="false" customHeight="false" outlineLevel="0" collapsed="false">
      <c r="A3" s="0" t="s">
        <v>8</v>
      </c>
      <c r="B3" s="2" t="n">
        <f aca="false">'Fiscal Cliff Timeline'!D3</f>
        <v>6</v>
      </c>
      <c r="C3" s="2" t="n">
        <f aca="false">B3-B2</f>
        <v>2</v>
      </c>
      <c r="D3" s="16" t="n">
        <f aca="false">IF(B2=0,"N/A",(B3-B2)/B2)</f>
        <v>0.5</v>
      </c>
      <c r="E3" s="16" t="n">
        <f aca="false">'Fiscal Cliff Timeline'!E3</f>
        <v>6.2</v>
      </c>
    </row>
    <row r="4" customFormat="false" ht="15" hidden="false" customHeight="false" outlineLevel="0" collapsed="false">
      <c r="A4" s="0" t="s">
        <v>9</v>
      </c>
      <c r="B4" s="2" t="n">
        <f aca="false">'Fiscal Cliff Timeline'!D4</f>
        <v>7.2</v>
      </c>
      <c r="C4" s="2" t="n">
        <f aca="false">B4-B3</f>
        <v>1.2</v>
      </c>
      <c r="D4" s="16" t="n">
        <f aca="false">IF(B3=0,"N/A",(B4-B3)/B3)</f>
        <v>0.2</v>
      </c>
      <c r="E4" s="16" t="n">
        <f aca="false">'Fiscal Cliff Timeline'!E4</f>
        <v>7</v>
      </c>
    </row>
    <row r="5" customFormat="false" ht="15" hidden="false" customHeight="false" outlineLevel="0" collapsed="false">
      <c r="A5" s="0" t="s">
        <v>11</v>
      </c>
      <c r="B5" s="2" t="n">
        <f aca="false">'Fiscal Cliff Timeline'!D5</f>
        <v>6.7</v>
      </c>
      <c r="C5" s="2" t="n">
        <f aca="false">B5-B4</f>
        <v>-0.5</v>
      </c>
      <c r="D5" s="16" t="n">
        <f aca="false">IF(B4=0,"N/A",(B5-B4)/B4)</f>
        <v>-0.0694444444444445</v>
      </c>
      <c r="E5" s="16" t="n">
        <f aca="false">'Fiscal Cliff Timeline'!E5</f>
        <v>7.7</v>
      </c>
    </row>
    <row r="6" customFormat="false" ht="15" hidden="false" customHeight="false" outlineLevel="0" collapsed="false">
      <c r="A6" s="4" t="s">
        <v>12</v>
      </c>
      <c r="B6" s="5" t="n">
        <f aca="false">'Fiscal Cliff Timeline'!D6</f>
        <v>3.1</v>
      </c>
      <c r="C6" s="5" t="n">
        <f aca="false">B6-B5</f>
        <v>-3.6</v>
      </c>
      <c r="D6" s="17" t="n">
        <f aca="false">IF(B5=0,"N/A",(B6-B5)/B5)</f>
        <v>-0.537313432835821</v>
      </c>
      <c r="E6" s="17" t="n">
        <f aca="false">'Fiscal Cliff Timeline'!E6</f>
        <v>8</v>
      </c>
    </row>
    <row r="7" customFormat="false" ht="15" hidden="false" customHeight="false" outlineLevel="0" collapsed="false">
      <c r="A7" s="0" t="s">
        <v>14</v>
      </c>
      <c r="B7" s="2" t="n">
        <f aca="false">'Fiscal Cliff Timeline'!D7</f>
        <v>0</v>
      </c>
      <c r="C7" s="2" t="n">
        <f aca="false">B7-B6</f>
        <v>-3.1</v>
      </c>
      <c r="D7" s="16" t="n">
        <f aca="false">IF(B6=0,"N/A",(B7-B6)/B6)</f>
        <v>-1</v>
      </c>
      <c r="E7" s="16" t="n">
        <f aca="false">'Fiscal Cliff Timeline'!E7</f>
        <v>6.8</v>
      </c>
    </row>
    <row r="8" customFormat="false" ht="15" hidden="false" customHeight="false" outlineLevel="0" collapsed="false">
      <c r="A8" s="0" t="s">
        <v>16</v>
      </c>
      <c r="B8" s="2" t="n">
        <f aca="false">'Fiscal Cliff Timeline'!D8</f>
        <v>0</v>
      </c>
      <c r="C8" s="2" t="n">
        <f aca="false">B8-B7</f>
        <v>0</v>
      </c>
      <c r="D8" s="16" t="str">
        <f aca="false">IF(B7=0,"N/A",(B8-B7)/B7)</f>
        <v>N/A</v>
      </c>
      <c r="E8" s="16" t="n">
        <f aca="false">'Fiscal Cliff Timeline'!E8</f>
        <v>5.9</v>
      </c>
    </row>
    <row r="10" customFormat="false" ht="15" hidden="false" customHeight="false" outlineLevel="0" collapsed="false">
      <c r="A10" s="14" t="s">
        <v>34</v>
      </c>
    </row>
    <row r="11" customFormat="false" ht="15" hidden="false" customHeight="false" outlineLevel="0" collapsed="false">
      <c r="A11" s="0" t="s">
        <v>35</v>
      </c>
      <c r="B11" s="11" t="n">
        <f aca="false">MIN(C3:C8)</f>
        <v>-3.6</v>
      </c>
      <c r="C11" s="3" t="s">
        <v>36</v>
      </c>
    </row>
    <row r="12" customFormat="false" ht="15" hidden="false" customHeight="false" outlineLevel="0" collapsed="false">
      <c r="A12" s="0" t="s">
        <v>37</v>
      </c>
      <c r="B12" s="10" t="n">
        <f aca="false">D6</f>
        <v>-0.537313432835821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8" t="s">
        <v>38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20" t="s">
        <v>39</v>
      </c>
    </row>
    <row r="4" customFormat="false" ht="15" hidden="false" customHeight="false" outlineLevel="0" collapsed="false">
      <c r="A4" s="19"/>
    </row>
    <row r="5" customFormat="false" ht="15" hidden="false" customHeight="false" outlineLevel="0" collapsed="false">
      <c r="A5" s="19" t="s">
        <v>40</v>
      </c>
    </row>
    <row r="6" customFormat="false" ht="15" hidden="false" customHeight="false" outlineLevel="0" collapsed="false">
      <c r="A6" s="19" t="s">
        <v>41</v>
      </c>
    </row>
    <row r="7" customFormat="false" ht="15" hidden="false" customHeight="false" outlineLevel="0" collapsed="false">
      <c r="A7" s="19" t="s">
        <v>42</v>
      </c>
    </row>
    <row r="8" customFormat="false" ht="15" hidden="false" customHeight="false" outlineLevel="0" collapsed="false">
      <c r="A8" s="19" t="s">
        <v>43</v>
      </c>
    </row>
    <row r="9" customFormat="false" ht="15" hidden="false" customHeight="false" outlineLevel="0" collapsed="false">
      <c r="A9" s="19" t="s">
        <v>44</v>
      </c>
    </row>
    <row r="10" customFormat="false" ht="15" hidden="false" customHeight="false" outlineLevel="0" collapsed="false">
      <c r="A10" s="19" t="s">
        <v>45</v>
      </c>
    </row>
    <row r="11" customFormat="false" ht="15" hidden="false" customHeight="false" outlineLevel="0" collapsed="false">
      <c r="A11" s="19" t="s">
        <v>46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 t="s">
        <v>47</v>
      </c>
    </row>
    <row r="14" customFormat="false" ht="15" hidden="false" customHeight="false" outlineLevel="0" collapsed="false">
      <c r="A14" s="19" t="s">
        <v>48</v>
      </c>
    </row>
    <row r="15" customFormat="false" ht="15" hidden="false" customHeight="false" outlineLevel="0" collapsed="false">
      <c r="A15" s="19" t="s">
        <v>49</v>
      </c>
    </row>
    <row r="16" customFormat="false" ht="15" hidden="false" customHeight="false" outlineLevel="0" collapsed="false">
      <c r="A16" s="19" t="s">
        <v>50</v>
      </c>
    </row>
    <row r="17" customFormat="false" ht="15" hidden="false" customHeight="false" outlineLevel="0" collapsed="false">
      <c r="A17" s="19"/>
    </row>
    <row r="18" customFormat="false" ht="15" hidden="false" customHeight="false" outlineLevel="0" collapsed="false">
      <c r="A18" s="19" t="s">
        <v>51</v>
      </c>
    </row>
    <row r="19" customFormat="false" ht="15" hidden="false" customHeight="false" outlineLevel="0" collapsed="false">
      <c r="A19" s="19" t="s">
        <v>52</v>
      </c>
    </row>
    <row r="20" customFormat="false" ht="15" hidden="false" customHeight="false" outlineLevel="0" collapsed="false">
      <c r="A20" s="19" t="s">
        <v>53</v>
      </c>
    </row>
    <row r="21" customFormat="false" ht="15" hidden="false" customHeight="false" outlineLevel="0" collapsed="false">
      <c r="A21" s="19" t="s">
        <v>54</v>
      </c>
    </row>
    <row r="22" customFormat="false" ht="15" hidden="false" customHeight="false" outlineLevel="0" collapsed="false">
      <c r="A22" s="19" t="s">
        <v>55</v>
      </c>
    </row>
    <row r="23" customFormat="false" ht="15" hidden="false" customHeight="false" outlineLevel="0" collapsed="false">
      <c r="A23" s="19" t="s">
        <v>56</v>
      </c>
    </row>
    <row r="24" customFormat="false" ht="15" hidden="false" customHeight="false" outlineLevel="0" collapsed="false">
      <c r="A24" s="19"/>
    </row>
    <row r="25" customFormat="false" ht="15" hidden="false" customHeight="false" outlineLevel="0" collapsed="false">
      <c r="A25" s="19" t="s">
        <v>57</v>
      </c>
    </row>
    <row r="26" customFormat="false" ht="15" hidden="false" customHeight="false" outlineLevel="0" collapsed="false">
      <c r="A26" s="19"/>
    </row>
    <row r="27" customFormat="false" ht="15" hidden="false" customHeight="false" outlineLevel="0" collapsed="false">
      <c r="A27" s="19" t="s">
        <v>58</v>
      </c>
    </row>
    <row r="28" customFormat="false" ht="15" hidden="false" customHeight="false" outlineLevel="0" collapsed="false">
      <c r="A28" s="19"/>
    </row>
    <row r="29" customFormat="false" ht="15" hidden="false" customHeight="false" outlineLevel="0" collapsed="false">
      <c r="A29" s="20" t="s">
        <v>59</v>
      </c>
    </row>
    <row r="30" customFormat="false" ht="15" hidden="false" customHeight="false" outlineLevel="0" collapsed="false">
      <c r="A30" s="19" t="s">
        <v>60</v>
      </c>
    </row>
    <row r="31" customFormat="false" ht="15" hidden="false" customHeight="false" outlineLevel="0" collapsed="false">
      <c r="A31" s="19" t="s">
        <v>61</v>
      </c>
    </row>
    <row r="32" customFormat="false" ht="15" hidden="false" customHeight="false" outlineLevel="0" collapsed="false">
      <c r="A32" s="19" t="s">
        <v>62</v>
      </c>
    </row>
    <row r="33" customFormat="false" ht="15" hidden="false" customHeight="false" outlineLevel="0" collapsed="false">
      <c r="A33" s="19"/>
    </row>
    <row r="34" customFormat="false" ht="15" hidden="false" customHeight="false" outlineLevel="0" collapsed="false">
      <c r="A34" s="20" t="s">
        <v>63</v>
      </c>
    </row>
    <row r="35" customFormat="false" ht="15" hidden="false" customHeight="false" outlineLevel="0" collapsed="false">
      <c r="A35" s="19" t="s">
        <v>64</v>
      </c>
    </row>
    <row r="36" customFormat="false" ht="15" hidden="false" customHeight="false" outlineLevel="0" collapsed="false">
      <c r="A36" s="19" t="s">
        <v>65</v>
      </c>
    </row>
    <row r="37" customFormat="false" ht="15" hidden="false" customHeight="false" outlineLevel="0" collapsed="false">
      <c r="A37" s="19" t="s">
        <v>66</v>
      </c>
    </row>
    <row r="38" customFormat="false" ht="15" hidden="false" customHeight="false" outlineLevel="0" collapsed="false">
      <c r="A38" s="1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2026-02-14T21:09:37Z</dcterms:created>
  <dc:creator>openpyxl</dc:creator>
  <dc:description/>
  <dc:language>en-US</dc:language>
  <cp:lastModifiedBy/>
  <dcterms:modified xsi:type="dcterms:W3CDTF">2026-02-14T21:09:37Z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