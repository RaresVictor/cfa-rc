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raresvictor/Downloads/"/>
    </mc:Choice>
  </mc:AlternateContent>
  <xr:revisionPtr revIDLastSave="0" documentId="13_ncr:1_{5045A52F-A5B5-6B4A-BAC3-0E5D9F77465F}" xr6:coauthVersionLast="47" xr6:coauthVersionMax="47" xr10:uidLastSave="{00000000-0000-0000-0000-000000000000}"/>
  <bookViews>
    <workbookView xWindow="15180" yWindow="1460" windowWidth="33980" windowHeight="25500" tabRatio="500" activeTab="4" xr2:uid="{00000000-000D-0000-FFFF-FFFF00000000}"/>
  </bookViews>
  <sheets>
    <sheet name="Chart" sheetId="1" r:id="rId1"/>
    <sheet name="Sheet1" sheetId="2" r:id="rId2"/>
    <sheet name="Sheet2" sheetId="3" r:id="rId3"/>
    <sheet name="Sheet3" sheetId="4" r:id="rId4"/>
    <sheet name="Sheet4"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<sst xmlns="http://schemas.openxmlformats.org/spreadsheetml/2006/main" count="82" uniqueCount="52">
  <si>
    <t>Romania: ROBOR 3M vs. Residential Construction Output (YoY %)</t>
  </si>
  <si>
    <t>Bars: residential construction output vs. same quarter prior year (YoY %).  Line: ROBOR 3M quarterly average (right axis).  As ROBOR crosses 6%, residential output turns negative — private demand destroyed.  Q2 2025 ROBOR spike signals renewed slowdown ahead.  Source: INS Romania, BNR. Q1–Q4 2025 = estimates.</t>
  </si>
  <si>
    <t>Quarter</t>
  </si>
  <si>
    <t>ROBOR 3M
(%, qtrly avg)</t>
  </si>
  <si>
    <t>Residential Construction
Output YoY (%)</t>
  </si>
  <si>
    <t>Threshold
6.0%</t>
  </si>
  <si>
    <t>Regime / Note</t>
  </si>
  <si>
    <t>Q1 2022</t>
  </si>
  <si>
    <t>ROBOR still low; residential healthy</t>
  </si>
  <si>
    <t>Q2 2022</t>
  </si>
  <si>
    <t>Elevated</t>
  </si>
  <si>
    <t>Q3 2022</t>
  </si>
  <si>
    <t>HIGH RATE</t>
  </si>
  <si>
    <t>Q4 2022</t>
  </si>
  <si>
    <t>ROBOR peaks — residential about to crack</t>
  </si>
  <si>
    <t>Q1 2023</t>
  </si>
  <si>
    <t>Q2 2023</t>
  </si>
  <si>
    <t>Q3 2023</t>
  </si>
  <si>
    <t>Q4 2023</t>
  </si>
  <si>
    <t>Q1 2024</t>
  </si>
  <si>
    <t>⚠ Steepest single-quarter decline</t>
  </si>
  <si>
    <t>Q2 2024</t>
  </si>
  <si>
    <t>Q3 2024</t>
  </si>
  <si>
    <t>Jul-Aug confirmed: -27.5%</t>
  </si>
  <si>
    <t>Q4 2024</t>
  </si>
  <si>
    <t>Q1 2025</t>
  </si>
  <si>
    <t>Q2 2025</t>
  </si>
  <si>
    <t>★ ROBOR spike → expect renewed slowdown</t>
  </si>
  <si>
    <t>Q3 2025</t>
  </si>
  <si>
    <t>Q4 2025</t>
  </si>
  <si>
    <t>NOTE: Bars show residential construction output index (INS) vs same quarter prior year — this isolates private residential demand, excluding civil engineering (state-funded roads, rail, utilities) which surged +33% in 2023 masking the private collapse. Total construction output is therefore NOT the right metric for this thesis. Q1–Q4 2025 are estimates based on partial INS releases, ROBOR trajectory and building permit data.</t>
  </si>
  <si>
    <t>Domeniu</t>
  </si>
  <si>
    <t>Sumă Alocată / Contractată</t>
  </si>
  <si>
    <t>Drumuri &amp; Poduri</t>
  </si>
  <si>
    <t>Apă &amp; Canalizare (Piața TRP)</t>
  </si>
  <si>
    <t>Sumă Decontată (Plătită)</t>
  </si>
  <si>
    <t>Roads and Bridges</t>
  </si>
  <si>
    <t>Water and Sewage</t>
  </si>
  <si>
    <t>Paid Amount (MLD Ron)</t>
  </si>
  <si>
    <t>Contracted Amount (MLD Ron)</t>
  </si>
  <si>
    <t>Grad Execuție %</t>
  </si>
  <si>
    <t>24.2%</t>
  </si>
  <si>
    <t>35.4%</t>
  </si>
  <si>
    <t>60.2%</t>
  </si>
  <si>
    <t>51.3%</t>
  </si>
  <si>
    <t>PNRR Component</t>
  </si>
  <si>
    <t>Executed (mil EUR)</t>
  </si>
  <si>
    <t>C1: Water Management</t>
  </si>
  <si>
    <t>C3: Waste Management</t>
  </si>
  <si>
    <t>C5: Renovation Wave</t>
  </si>
  <si>
    <t>C10: Local Fund</t>
  </si>
  <si>
    <t>Total Allocation (mil 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</si>
</sst>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4" x14ac:knownFonts="1">
    <font>
      <sz val="11"/>
      <color theme="1"/>
      <name val="Calibri"/>
      <family val="2"/>
      <charset val="1"/>
    </font>
    <font>
      <b/>
      <sz val="14"/>
      <color rgb="FFFFFFFF"/>
      <name val="Calibri"/>
      <family val="2"/>
    </font>
    <font>
      <i/>
      <sz val="10"/>
      <color rgb="FF444444"/>
      <name val="Calibri"/>
      <family val="2"/>
    </font>
    <font>
      <b/>
      <sz val="10"/>
      <color rgb="FFFFFFFF"/>
      <name val="Calibri"/>
      <family val="2"/>
    </font>
    <font>
      <sz val="10"/>
      <color rgb="FF404040"/>
      <name val="Calibri"/>
      <family val="2"/>
    </font>
    <font>
      <sz val="10"/>
      <color rgb="FF375623"/>
      <name val="Calibri"/>
      <family val="2"/>
    </font>
    <font>
      <sz val="9"/>
      <color rgb="FFAAAAAA"/>
      <name val="Calibri"/>
      <family val="2"/>
    </font>
    <font>
      <i/>
      <sz val="9"/>
      <color rgb="FF666666"/>
      <name val="Calibri"/>
      <family val="2"/>
    </font>
    <font>
      <b/>
      <sz val="10"/>
      <color rgb="FFC00000"/>
      <name val="Calibri"/>
      <family val="2"/>
    </font>
    <font>
      <i/>
      <sz val="9"/>
      <color rgb="FFC00000"/>
      <name val="Calibri"/>
      <family val="2"/>
    </font>
    <font>
      <sz val="10"/>
      <color rgb="FFC00000"/>
      <name val="Calibri"/>
      <family val="2"/>
    </font>
    <font>
      <i/>
      <sz val="9"/>
      <color rgb="FFFFFFFF"/>
      <name val="Calibri"/>
      <family val="2"/>
    </font>
    <font>
      <sz val="11"/>
      <color rgb="FF1F1F1F"/>
      <name val="Arial"/>
      <family val="2"/>
    </font>
    <font>
      <b/>
      <sz val="11"/>
      <color rgb="FF1F1F1F"/>
      <name val="Arial"/>
      <family val="2"/>
    </font>
  </fonts>
  <fills count="8">
    <fill>
      <patternFill patternType="none"/>
    </fill>
    <fill>
      <patternFill patternType="gray125"/>
    </fill>
    <fill>
      <patternFill patternType="solid">
        <fgColor rgb="FF1F3864"/>
        <bgColor rgb="FF404040"/>
      </patternFill>
    </fill>
    <fill>
      <patternFill patternType="solid">
        <fgColor rgb="FFF5F5F5"/>
        <bgColor rgb="FFFFFFFF"/>
      </patternFill>
    </fill>
    <fill>
      <patternFill patternType="solid">
        <fgColor rgb="FF2E5090"/>
        <bgColor rgb="FF1F3864"/>
      </patternFill>
    </fill>
    <fill>
      <patternFill patternType="solid">
        <fgColor rgb="FFE2EFDA"/>
        <bgColor rgb="FFF5F5F5"/>
      </patternFill>
    </fill>
    <fill>
      <patternFill patternType="solid">
        <fgColor rgb="FFFFE0E0"/>
        <bgColor rgb="FFFFF2CC"/>
      </patternFill>
    </fill>
    <fill>
      <patternFill patternType="solid">
        <fgColor rgb="FFFFF2CC"/>
        <b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11" fillId="2" borderId="0" xfId="0" applyFont="1" applyFill="1" applyAlignment="1">
      <alignment horizontal="left" vertical="center" wrapText="1"/>
    </xf>
    <xf numFmtId="0" fontId="2" fillId="3" borderId="0" xfId="0" applyFont="1" applyFill="1" applyAlignment="1">
      <alignment horizontal="left" vertical="center" wrapText="1"/>
    </xf>
    <xf numFmtId="0" fontId="1" fillId="2" borderId="0" xfId="0" applyFont="1" applyFill="1" applyAlignment="1">
      <alignment horizontal="left" vertical="center"/>
    </xf>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xf>
    <xf numFmtId="2" fontId="4" fillId="5"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165" fontId="6" fillId="5" borderId="1" xfId="0" applyNumberFormat="1" applyFont="1" applyFill="1" applyBorder="1" applyAlignment="1">
      <alignment horizontal="center" vertical="center"/>
    </xf>
    <xf numFmtId="0" fontId="7" fillId="5" borderId="1" xfId="0" applyFont="1" applyFill="1" applyBorder="1" applyAlignment="1">
      <alignment horizontal="center" vertical="center" wrapText="1"/>
    </xf>
    <xf numFmtId="0" fontId="8" fillId="6" borderId="1" xfId="0" applyFont="1" applyFill="1" applyBorder="1" applyAlignment="1">
      <alignment horizontal="left" vertical="center"/>
    </xf>
    <xf numFmtId="2" fontId="8" fillId="6" borderId="1" xfId="0" applyNumberFormat="1" applyFont="1" applyFill="1" applyBorder="1" applyAlignment="1">
      <alignment horizontal="center" vertical="center"/>
    </xf>
    <xf numFmtId="164" fontId="5" fillId="6" borderId="1" xfId="0" applyNumberFormat="1" applyFont="1" applyFill="1" applyBorder="1" applyAlignment="1">
      <alignment horizontal="center" vertical="center"/>
    </xf>
    <xf numFmtId="165" fontId="6" fillId="6" borderId="1" xfId="0" applyNumberFormat="1" applyFont="1" applyFill="1" applyBorder="1" applyAlignment="1">
      <alignment horizontal="center" vertical="center"/>
    </xf>
    <xf numFmtId="0" fontId="9" fillId="6" borderId="1" xfId="0" applyFont="1" applyFill="1" applyBorder="1" applyAlignment="1">
      <alignment horizontal="center" vertical="center" wrapText="1"/>
    </xf>
    <xf numFmtId="164" fontId="10" fillId="6" borderId="1" xfId="0" applyNumberFormat="1" applyFont="1" applyFill="1" applyBorder="1" applyAlignment="1">
      <alignment horizontal="center" vertical="center"/>
    </xf>
    <xf numFmtId="164" fontId="8" fillId="6" borderId="1" xfId="0" applyNumberFormat="1" applyFont="1" applyFill="1" applyBorder="1" applyAlignment="1">
      <alignment horizontal="center" vertical="center"/>
    </xf>
    <xf numFmtId="0" fontId="4" fillId="7" borderId="1" xfId="0" applyFont="1" applyFill="1" applyBorder="1" applyAlignment="1">
      <alignment horizontal="left" vertical="center"/>
    </xf>
    <xf numFmtId="2" fontId="4" fillId="7" borderId="1" xfId="0" applyNumberFormat="1" applyFont="1" applyFill="1" applyBorder="1" applyAlignment="1">
      <alignment horizontal="center" vertical="center"/>
    </xf>
    <xf numFmtId="164" fontId="8" fillId="7" borderId="1" xfId="0" applyNumberFormat="1" applyFont="1" applyFill="1" applyBorder="1" applyAlignment="1">
      <alignment horizontal="center" vertical="center"/>
    </xf>
    <xf numFmtId="165" fontId="6" fillId="7" borderId="1" xfId="0" applyNumberFormat="1" applyFont="1" applyFill="1" applyBorder="1" applyAlignment="1">
      <alignment horizontal="center" vertical="center"/>
    </xf>
    <xf numFmtId="0" fontId="7" fillId="7" borderId="1" xfId="0" applyFont="1" applyFill="1" applyBorder="1" applyAlignment="1">
      <alignment horizontal="center" vertical="center" wrapText="1"/>
    </xf>
    <xf numFmtId="0" fontId="13" fillId="0" borderId="0" xfId="0" applyFont="1"/>
    <xf numFmtId="0" fontId="1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F5F5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B3B3B3"/>
      <rgbColor rgb="FFFF99CC"/>
      <rgbColor rgb="FFCC99FF"/>
      <rgbColor rgb="FFFFE0E0"/>
      <rgbColor rgb="FF4472C4"/>
      <rgbColor rgb="FF33CCCC"/>
      <rgbColor rgb="FF99CC00"/>
      <rgbColor rgb="FFFFCC00"/>
      <rgbColor rgb="FFFF9900"/>
      <rgbColor rgb="FFC55A11"/>
      <rgbColor rgb="FF666666"/>
      <rgbColor rgb="FFAAAAAA"/>
      <rgbColor rgb="FF1F3864"/>
      <rgbColor rgb="FF339966"/>
      <rgbColor rgb="FF375623"/>
      <rgbColor rgb="FF444444"/>
      <rgbColor rgb="FF993300"/>
      <rgbColor rgb="FF993366"/>
      <rgbColor rgb="FF2E5090"/>
      <rgbColor rgb="FF404040"/>
      <rgbColor rgb="00003366"/>
      <rgbColor rgb="00339966"/>
      <rgbColor rgb="00003300"/>
      <rgbColor rgb="00333300"/>
      <rgbColor rgb="00993300"/>
      <rgbColor rgb="00993366"/>
      <rgbColor rgb="00333399"/>
      <rgbColor rgb="00333333"/>
    </indexedColors>
    <mruColors>
      <color rgb="FFD86D37"/>
      <color rgb="FF282E37"/>
      <color rgb="FF2B3640"/>
      <color rgb="FF2F3E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Chart!$C$4</c:f>
              <c:strCache>
                <c:ptCount val="1"/>
                <c:pt idx="0">
                  <c:v>Residential Construction
Output YoY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Chart!$A$5:$A$20</c:f>
              <c:strCache>
                <c:ptCount val="16"/>
                <c:pt idx="0">
                  <c:v>Q1 2022</c:v>
                </c:pt>
                <c:pt idx="1">
                  <c:v>Q2 2022</c:v>
                </c:pt>
                <c:pt idx="2">
                  <c:v>Q3 2022</c:v>
                </c:pt>
                <c:pt idx="3">
                  <c:v>Q4 2022</c:v>
                </c:pt>
                <c:pt idx="4">
                  <c:v>Q1 2023</c:v>
                </c:pt>
                <c:pt idx="5">
                  <c:v>Q2 2023</c:v>
                </c:pt>
                <c:pt idx="6">
                  <c:v>Q3 2023</c:v>
                </c:pt>
                <c:pt idx="7">
                  <c:v>Q4 2023</c:v>
                </c:pt>
                <c:pt idx="8">
                  <c:v>Q1 2024</c:v>
                </c:pt>
                <c:pt idx="9">
                  <c:v>Q2 2024</c:v>
                </c:pt>
                <c:pt idx="10">
                  <c:v>Q3 2024</c:v>
                </c:pt>
                <c:pt idx="11">
                  <c:v>Q4 2024</c:v>
                </c:pt>
                <c:pt idx="12">
                  <c:v>Q1 2025</c:v>
                </c:pt>
                <c:pt idx="13">
                  <c:v>Q2 2025</c:v>
                </c:pt>
                <c:pt idx="14">
                  <c:v>Q3 2025</c:v>
                </c:pt>
                <c:pt idx="15">
                  <c:v>Q4 2025</c:v>
                </c:pt>
              </c:strCache>
            </c:strRef>
          </c:cat>
          <c:val>
            <c:numRef>
              <c:f>Chart!$C$5:$C$20</c:f>
              <c:numCache>
                <c:formatCode>\+0.0%;\-0.0%;\-</c:formatCode>
                <c:ptCount val="16"/>
                <c:pt idx="0">
                  <c:v>0.08</c:v>
                </c:pt>
                <c:pt idx="1">
                  <c:v>0.02</c:v>
                </c:pt>
                <c:pt idx="2">
                  <c:v>0.01</c:v>
                </c:pt>
                <c:pt idx="3">
                  <c:v>0.01</c:v>
                </c:pt>
                <c:pt idx="4">
                  <c:v>-0.02</c:v>
                </c:pt>
                <c:pt idx="5">
                  <c:v>-7.0000000000000007E-2</c:v>
                </c:pt>
                <c:pt idx="6">
                  <c:v>-0.09</c:v>
                </c:pt>
                <c:pt idx="7">
                  <c:v>-0.09</c:v>
                </c:pt>
                <c:pt idx="8">
                  <c:v>-0.34</c:v>
                </c:pt>
                <c:pt idx="9">
                  <c:v>-0.13</c:v>
                </c:pt>
                <c:pt idx="10">
                  <c:v>-0.27500000000000002</c:v>
                </c:pt>
                <c:pt idx="11">
                  <c:v>-0.15</c:v>
                </c:pt>
                <c:pt idx="12">
                  <c:v>-0.05</c:v>
                </c:pt>
                <c:pt idx="13">
                  <c:v>-0.03</c:v>
                </c:pt>
                <c:pt idx="14">
                  <c:v>0.02</c:v>
                </c:pt>
                <c:pt idx="15">
                  <c:v>0.04</c:v>
                </c:pt>
              </c:numCache>
            </c:numRef>
          </c:val>
          <c:extLst>
            <c:ext xmlns:c16="http://schemas.microsoft.com/office/drawing/2014/chart" uri="{C3380CC4-5D6E-409C-BE32-E72D297353CC}">
              <c16:uniqueId val="{00000000-306D-C74C-A3E1-EB7A5E441A05}"/>
            </c:ext>
          </c:extLst>
        </c:ser>
        <c:dLbls>
          <c:showLegendKey val="0"/>
          <c:showVal val="0"/>
          <c:showCatName val="0"/>
          <c:showSerName val="0"/>
          <c:showPercent val="0"/>
          <c:showBubbleSize val="0"/>
        </c:dLbls>
        <c:gapWidth val="150"/>
        <c:axId val="95561957"/>
        <c:axId val="33844651"/>
      </c:barChart>
      <c:lineChart>
        <c:grouping val="standard"/>
        <c:varyColors val="0"/>
        <c:ser>
          <c:idx val="1"/>
          <c:order val="1"/>
          <c:tx>
            <c:strRef>
              <c:f>Chart!$B$4</c:f>
              <c:strCache>
                <c:ptCount val="1"/>
                <c:pt idx="0">
                  <c:v>ROBOR 3M
(%, qtrly avg)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Chart!$A$5:$A$20</c:f>
              <c:strCache>
                <c:ptCount val="16"/>
                <c:pt idx="0">
                  <c:v>Q1 2022</c:v>
                </c:pt>
                <c:pt idx="1">
                  <c:v>Q2 2022</c:v>
                </c:pt>
                <c:pt idx="2">
                  <c:v>Q3 2022</c:v>
                </c:pt>
                <c:pt idx="3">
                  <c:v>Q4 2022</c:v>
                </c:pt>
                <c:pt idx="4">
                  <c:v>Q1 2023</c:v>
                </c:pt>
                <c:pt idx="5">
                  <c:v>Q2 2023</c:v>
                </c:pt>
                <c:pt idx="6">
                  <c:v>Q3 2023</c:v>
                </c:pt>
                <c:pt idx="7">
                  <c:v>Q4 2023</c:v>
                </c:pt>
                <c:pt idx="8">
                  <c:v>Q1 2024</c:v>
                </c:pt>
                <c:pt idx="9">
                  <c:v>Q2 2024</c:v>
                </c:pt>
                <c:pt idx="10">
                  <c:v>Q3 2024</c:v>
                </c:pt>
                <c:pt idx="11">
                  <c:v>Q4 2024</c:v>
                </c:pt>
                <c:pt idx="12">
                  <c:v>Q1 2025</c:v>
                </c:pt>
                <c:pt idx="13">
                  <c:v>Q2 2025</c:v>
                </c:pt>
                <c:pt idx="14">
                  <c:v>Q3 2025</c:v>
                </c:pt>
                <c:pt idx="15">
                  <c:v>Q4 2025</c:v>
                </c:pt>
              </c:strCache>
            </c:strRef>
          </c:cat>
          <c:val>
            <c:numRef>
              <c:f>Chart!$B$5:$B$20</c:f>
              <c:numCache>
                <c:formatCode>0.00</c:formatCode>
                <c:ptCount val="16"/>
                <c:pt idx="0">
                  <c:v>3.86</c:v>
                </c:pt>
                <c:pt idx="1">
                  <c:v>5.74</c:v>
                </c:pt>
                <c:pt idx="2">
                  <c:v>7.57</c:v>
                </c:pt>
                <c:pt idx="3">
                  <c:v>8.0399999999999991</c:v>
                </c:pt>
                <c:pt idx="4">
                  <c:v>7.18</c:v>
                </c:pt>
                <c:pt idx="5">
                  <c:v>6.54</c:v>
                </c:pt>
                <c:pt idx="6">
                  <c:v>6.44</c:v>
                </c:pt>
                <c:pt idx="7">
                  <c:v>6.29</c:v>
                </c:pt>
                <c:pt idx="8">
                  <c:v>6.04</c:v>
                </c:pt>
                <c:pt idx="9">
                  <c:v>5.77</c:v>
                </c:pt>
                <c:pt idx="10">
                  <c:v>5.58</c:v>
                </c:pt>
                <c:pt idx="11">
                  <c:v>5.6</c:v>
                </c:pt>
                <c:pt idx="12">
                  <c:v>6.25</c:v>
                </c:pt>
                <c:pt idx="13">
                  <c:v>7.05</c:v>
                </c:pt>
                <c:pt idx="14">
                  <c:v>6.6</c:v>
                </c:pt>
                <c:pt idx="15">
                  <c:v>6.13</c:v>
                </c:pt>
              </c:numCache>
            </c:numRef>
          </c:val>
          <c:smooth val="1"/>
          <c:extLst>
            <c:ext xmlns:c16="http://schemas.microsoft.com/office/drawing/2014/chart" uri="{C3380CC4-5D6E-409C-BE32-E72D297353CC}">
              <c16:uniqueId val="{00000001-306D-C74C-A3E1-EB7A5E441A05}"/>
            </c:ext>
          </c:extLst>
        </c:ser>
        <c:ser>
          <c:idx val="2"/>
          <c:order val="2"/>
          <c:tx>
            <c:strRef>
              <c:f>Chart!$D$4</c:f>
              <c:strCache>
                <c:ptCount val="1"/>
                <c:pt idx="0">
                  <c:v>Threshold
6.0%</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Chart!$A$5:$A$20</c:f>
              <c:strCache>
                <c:ptCount val="16"/>
                <c:pt idx="0">
                  <c:v>Q1 2022</c:v>
                </c:pt>
                <c:pt idx="1">
                  <c:v>Q2 2022</c:v>
                </c:pt>
                <c:pt idx="2">
                  <c:v>Q3 2022</c:v>
                </c:pt>
                <c:pt idx="3">
                  <c:v>Q4 2022</c:v>
                </c:pt>
                <c:pt idx="4">
                  <c:v>Q1 2023</c:v>
                </c:pt>
                <c:pt idx="5">
                  <c:v>Q2 2023</c:v>
                </c:pt>
                <c:pt idx="6">
                  <c:v>Q3 2023</c:v>
                </c:pt>
                <c:pt idx="7">
                  <c:v>Q4 2023</c:v>
                </c:pt>
                <c:pt idx="8">
                  <c:v>Q1 2024</c:v>
                </c:pt>
                <c:pt idx="9">
                  <c:v>Q2 2024</c:v>
                </c:pt>
                <c:pt idx="10">
                  <c:v>Q3 2024</c:v>
                </c:pt>
                <c:pt idx="11">
                  <c:v>Q4 2024</c:v>
                </c:pt>
                <c:pt idx="12">
                  <c:v>Q1 2025</c:v>
                </c:pt>
                <c:pt idx="13">
                  <c:v>Q2 2025</c:v>
                </c:pt>
                <c:pt idx="14">
                  <c:v>Q3 2025</c:v>
                </c:pt>
                <c:pt idx="15">
                  <c:v>Q4 2025</c:v>
                </c:pt>
              </c:strCache>
            </c:strRef>
          </c:cat>
          <c:val>
            <c:numRef>
              <c:f>Chart!$D$5:$D$20</c:f>
              <c:numCache>
                <c:formatCode>0.0%</c:formatCode>
                <c:ptCount val="16"/>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numCache>
            </c:numRef>
          </c:val>
          <c:smooth val="1"/>
          <c:extLst>
            <c:ext xmlns:c16="http://schemas.microsoft.com/office/drawing/2014/chart" uri="{C3380CC4-5D6E-409C-BE32-E72D297353CC}">
              <c16:uniqueId val="{00000002-306D-C74C-A3E1-EB7A5E441A05}"/>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20300670"/>
        <c:axId val="79628501"/>
      </c:lineChart>
      <c:catAx>
        <c:axId val="95561957"/>
        <c:scaling>
          <c:orientation val="minMax"/>
        </c:scaling>
        <c:delete val="1"/>
        <c:axPos val="b"/>
        <c:numFmt formatCode="General" sourceLinked="1"/>
        <c:majorTickMark val="none"/>
        <c:minorTickMark val="none"/>
        <c:tickLblPos val="nextTo"/>
        <c:crossAx val="33844651"/>
        <c:crosses val="autoZero"/>
        <c:auto val="1"/>
        <c:lblAlgn val="ctr"/>
        <c:lblOffset val="100"/>
        <c:noMultiLvlLbl val="0"/>
      </c:catAx>
      <c:valAx>
        <c:axId val="33844651"/>
        <c:scaling>
          <c:orientation val="minMax"/>
          <c:max val="0.4"/>
          <c:min val="-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Residential Construction Output (YoY %)</a:t>
                </a:r>
              </a:p>
            </c:rich>
          </c:tx>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RO"/>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95561957"/>
        <c:crosses val="autoZero"/>
        <c:crossBetween val="between"/>
      </c:valAx>
      <c:catAx>
        <c:axId val="2030067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79628501"/>
        <c:crosses val="autoZero"/>
        <c:auto val="1"/>
        <c:lblAlgn val="ctr"/>
        <c:lblOffset val="100"/>
        <c:noMultiLvlLbl val="0"/>
      </c:catAx>
      <c:valAx>
        <c:axId val="79628501"/>
        <c:scaling>
          <c:orientation val="minMax"/>
          <c:max val="12"/>
          <c:min val="0"/>
        </c:scaling>
        <c:delete val="0"/>
        <c:axPos val="r"/>
        <c:title>
          <c:tx>
            <c:rich>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ROBOR 3M (%)</a:t>
                </a:r>
              </a:p>
            </c:rich>
          </c:tx>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RO"/>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20300670"/>
        <c:crosses val="max"/>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R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901383461087987E-2"/>
          <c:y val="0.14454664612852919"/>
          <c:w val="0.8308166247260329"/>
          <c:h val="0.6970813520727891"/>
        </c:manualLayout>
      </c:layout>
      <c:barChart>
        <c:barDir val="col"/>
        <c:grouping val="clustered"/>
        <c:varyColors val="0"/>
        <c:ser>
          <c:idx val="0"/>
          <c:order val="0"/>
          <c:tx>
            <c:strRef>
              <c:f>Sheet1!$B$1</c:f>
              <c:strCache>
                <c:ptCount val="1"/>
                <c:pt idx="0">
                  <c:v>Residential Construction
Output YoY (%)</c:v>
                </c:pt>
              </c:strCache>
            </c:strRef>
          </c:tx>
          <c:spPr>
            <a:solidFill>
              <a:srgbClr val="2F3E4B"/>
            </a:solidFill>
            <a:ln>
              <a:noFill/>
            </a:ln>
            <a:effectLst/>
          </c:spPr>
          <c:invertIfNegative val="0"/>
          <c:cat>
            <c:strRef>
              <c:f>Sheet1!$A$2:$A$17</c:f>
              <c:strCache>
                <c:ptCount val="16"/>
                <c:pt idx="0">
                  <c:v>Q1 2022</c:v>
                </c:pt>
                <c:pt idx="1">
                  <c:v>Q2 2022</c:v>
                </c:pt>
                <c:pt idx="2">
                  <c:v>Q3 2022</c:v>
                </c:pt>
                <c:pt idx="3">
                  <c:v>Q4 2022</c:v>
                </c:pt>
                <c:pt idx="4">
                  <c:v>Q1 2023</c:v>
                </c:pt>
                <c:pt idx="5">
                  <c:v>Q2 2023</c:v>
                </c:pt>
                <c:pt idx="6">
                  <c:v>Q3 2023</c:v>
                </c:pt>
                <c:pt idx="7">
                  <c:v>Q4 2023</c:v>
                </c:pt>
                <c:pt idx="8">
                  <c:v>Q1 2024</c:v>
                </c:pt>
                <c:pt idx="9">
                  <c:v>Q2 2024</c:v>
                </c:pt>
                <c:pt idx="10">
                  <c:v>Q3 2024</c:v>
                </c:pt>
                <c:pt idx="11">
                  <c:v>Q4 2024</c:v>
                </c:pt>
                <c:pt idx="12">
                  <c:v>Q1 2025</c:v>
                </c:pt>
                <c:pt idx="13">
                  <c:v>Q2 2025</c:v>
                </c:pt>
                <c:pt idx="14">
                  <c:v>Q3 2025</c:v>
                </c:pt>
                <c:pt idx="15">
                  <c:v>Q4 2025</c:v>
                </c:pt>
              </c:strCache>
            </c:strRef>
          </c:cat>
          <c:val>
            <c:numRef>
              <c:f>Sheet1!$B$2:$B$17</c:f>
              <c:numCache>
                <c:formatCode>\+0.0%;\-0.0%;\-</c:formatCode>
                <c:ptCount val="16"/>
                <c:pt idx="0">
                  <c:v>0.08</c:v>
                </c:pt>
                <c:pt idx="1">
                  <c:v>0.02</c:v>
                </c:pt>
                <c:pt idx="2">
                  <c:v>0.01</c:v>
                </c:pt>
                <c:pt idx="3">
                  <c:v>0.01</c:v>
                </c:pt>
                <c:pt idx="4">
                  <c:v>-0.02</c:v>
                </c:pt>
                <c:pt idx="5">
                  <c:v>-7.0000000000000007E-2</c:v>
                </c:pt>
                <c:pt idx="6">
                  <c:v>-0.09</c:v>
                </c:pt>
                <c:pt idx="7">
                  <c:v>-0.09</c:v>
                </c:pt>
                <c:pt idx="8">
                  <c:v>-0.34</c:v>
                </c:pt>
                <c:pt idx="9">
                  <c:v>-0.13</c:v>
                </c:pt>
                <c:pt idx="10">
                  <c:v>-0.27500000000000002</c:v>
                </c:pt>
                <c:pt idx="11">
                  <c:v>-0.15</c:v>
                </c:pt>
                <c:pt idx="12">
                  <c:v>-0.05</c:v>
                </c:pt>
                <c:pt idx="13">
                  <c:v>-0.03</c:v>
                </c:pt>
                <c:pt idx="14">
                  <c:v>0.02</c:v>
                </c:pt>
                <c:pt idx="15">
                  <c:v>0.04</c:v>
                </c:pt>
              </c:numCache>
            </c:numRef>
          </c:val>
          <c:extLst>
            <c:ext xmlns:c16="http://schemas.microsoft.com/office/drawing/2014/chart" uri="{C3380CC4-5D6E-409C-BE32-E72D297353CC}">
              <c16:uniqueId val="{00000000-FF4A-7243-8BFB-47FCD571ECCC}"/>
            </c:ext>
          </c:extLst>
        </c:ser>
        <c:dLbls>
          <c:showLegendKey val="0"/>
          <c:showVal val="0"/>
          <c:showCatName val="0"/>
          <c:showSerName val="0"/>
          <c:showPercent val="0"/>
          <c:showBubbleSize val="0"/>
        </c:dLbls>
        <c:gapWidth val="269"/>
        <c:overlap val="-27"/>
        <c:axId val="1622880224"/>
        <c:axId val="1659475728"/>
      </c:barChart>
      <c:lineChart>
        <c:grouping val="standard"/>
        <c:varyColors val="0"/>
        <c:ser>
          <c:idx val="1"/>
          <c:order val="1"/>
          <c:tx>
            <c:strRef>
              <c:f>Sheet1!$C$1</c:f>
              <c:strCache>
                <c:ptCount val="1"/>
                <c:pt idx="0">
                  <c:v>ROBOR 3M
(%, qtrly avg)</c:v>
                </c:pt>
              </c:strCache>
            </c:strRef>
          </c:tx>
          <c:spPr>
            <a:ln w="28575" cap="rnd">
              <a:solidFill>
                <a:srgbClr val="D86D37"/>
              </a:solidFill>
              <a:round/>
            </a:ln>
            <a:effectLst/>
          </c:spPr>
          <c:marker>
            <c:symbol val="none"/>
          </c:marker>
          <c:cat>
            <c:strRef>
              <c:f>Sheet1!$A$2:$A$17</c:f>
              <c:strCache>
                <c:ptCount val="16"/>
                <c:pt idx="0">
                  <c:v>Q1 2022</c:v>
                </c:pt>
                <c:pt idx="1">
                  <c:v>Q2 2022</c:v>
                </c:pt>
                <c:pt idx="2">
                  <c:v>Q3 2022</c:v>
                </c:pt>
                <c:pt idx="3">
                  <c:v>Q4 2022</c:v>
                </c:pt>
                <c:pt idx="4">
                  <c:v>Q1 2023</c:v>
                </c:pt>
                <c:pt idx="5">
                  <c:v>Q2 2023</c:v>
                </c:pt>
                <c:pt idx="6">
                  <c:v>Q3 2023</c:v>
                </c:pt>
                <c:pt idx="7">
                  <c:v>Q4 2023</c:v>
                </c:pt>
                <c:pt idx="8">
                  <c:v>Q1 2024</c:v>
                </c:pt>
                <c:pt idx="9">
                  <c:v>Q2 2024</c:v>
                </c:pt>
                <c:pt idx="10">
                  <c:v>Q3 2024</c:v>
                </c:pt>
                <c:pt idx="11">
                  <c:v>Q4 2024</c:v>
                </c:pt>
                <c:pt idx="12">
                  <c:v>Q1 2025</c:v>
                </c:pt>
                <c:pt idx="13">
                  <c:v>Q2 2025</c:v>
                </c:pt>
                <c:pt idx="14">
                  <c:v>Q3 2025</c:v>
                </c:pt>
                <c:pt idx="15">
                  <c:v>Q4 2025</c:v>
                </c:pt>
              </c:strCache>
            </c:strRef>
          </c:cat>
          <c:val>
            <c:numRef>
              <c:f>Sheet1!$C$2:$C$17</c:f>
              <c:numCache>
                <c:formatCode>0.00</c:formatCode>
                <c:ptCount val="16"/>
                <c:pt idx="0">
                  <c:v>3.86</c:v>
                </c:pt>
                <c:pt idx="1">
                  <c:v>5.74</c:v>
                </c:pt>
                <c:pt idx="2">
                  <c:v>7.57</c:v>
                </c:pt>
                <c:pt idx="3">
                  <c:v>8.0399999999999991</c:v>
                </c:pt>
                <c:pt idx="4">
                  <c:v>7.18</c:v>
                </c:pt>
                <c:pt idx="5">
                  <c:v>6.54</c:v>
                </c:pt>
                <c:pt idx="6">
                  <c:v>6.44</c:v>
                </c:pt>
                <c:pt idx="7">
                  <c:v>6.29</c:v>
                </c:pt>
                <c:pt idx="8">
                  <c:v>6.04</c:v>
                </c:pt>
                <c:pt idx="9">
                  <c:v>5.77</c:v>
                </c:pt>
                <c:pt idx="10">
                  <c:v>5.58</c:v>
                </c:pt>
                <c:pt idx="11">
                  <c:v>5.6</c:v>
                </c:pt>
                <c:pt idx="12">
                  <c:v>6.25</c:v>
                </c:pt>
                <c:pt idx="13">
                  <c:v>7.05</c:v>
                </c:pt>
                <c:pt idx="14">
                  <c:v>6.6</c:v>
                </c:pt>
                <c:pt idx="15">
                  <c:v>6.13</c:v>
                </c:pt>
              </c:numCache>
            </c:numRef>
          </c:val>
          <c:smooth val="0"/>
          <c:extLst>
            <c:ext xmlns:c16="http://schemas.microsoft.com/office/drawing/2014/chart" uri="{C3380CC4-5D6E-409C-BE32-E72D297353CC}">
              <c16:uniqueId val="{00000001-FF4A-7243-8BFB-47FCD571ECCC}"/>
            </c:ext>
          </c:extLst>
        </c:ser>
        <c:dLbls>
          <c:showLegendKey val="0"/>
          <c:showVal val="0"/>
          <c:showCatName val="0"/>
          <c:showSerName val="0"/>
          <c:showPercent val="0"/>
          <c:showBubbleSize val="0"/>
        </c:dLbls>
        <c:marker val="1"/>
        <c:smooth val="0"/>
        <c:axId val="1622658736"/>
        <c:axId val="1577252976"/>
      </c:lineChart>
      <c:catAx>
        <c:axId val="162288022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1659475728"/>
        <c:crosses val="autoZero"/>
        <c:auto val="1"/>
        <c:lblAlgn val="ctr"/>
        <c:lblOffset val="100"/>
        <c:noMultiLvlLbl val="0"/>
      </c:catAx>
      <c:valAx>
        <c:axId val="165947572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1622880224"/>
        <c:crosses val="autoZero"/>
        <c:crossBetween val="between"/>
      </c:valAx>
      <c:valAx>
        <c:axId val="15772529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1622658736"/>
        <c:crosses val="max"/>
        <c:crossBetween val="between"/>
      </c:valAx>
      <c:catAx>
        <c:axId val="1622658736"/>
        <c:scaling>
          <c:orientation val="minMax"/>
        </c:scaling>
        <c:delete val="1"/>
        <c:axPos val="b"/>
        <c:numFmt formatCode="General" sourceLinked="1"/>
        <c:majorTickMark val="none"/>
        <c:minorTickMark val="none"/>
        <c:tickLblPos val="nextTo"/>
        <c:crossAx val="1577252976"/>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ptos" panose="020B0004020202020204" pitchFamily="34" charset="0"/>
              <a:ea typeface="+mn-ea"/>
              <a:cs typeface="+mn-cs"/>
            </a:defRPr>
          </a:pPr>
          <a:endParaRPr lang="en-R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R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Sheet2!$A$7</c:f>
              <c:strCache>
                <c:ptCount val="1"/>
                <c:pt idx="0">
                  <c:v>Roads and Bridges</c:v>
                </c:pt>
              </c:strCache>
            </c:strRef>
          </c:tx>
          <c:spPr>
            <a:solidFill>
              <a:srgbClr val="D86D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ptos" panose="020B0004020202020204" pitchFamily="34" charset="0"/>
                    <a:ea typeface="+mn-ea"/>
                    <a:cs typeface="+mn-cs"/>
                  </a:defRPr>
                </a:pPr>
                <a:endParaRPr lang="en-R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Sheet2!$B$6:$C$6</c:f>
              <c:strCache>
                <c:ptCount val="2"/>
                <c:pt idx="0">
                  <c:v>Paid Amount (MLD Ron)</c:v>
                </c:pt>
                <c:pt idx="1">
                  <c:v>Contracted Amount (MLD Ron)</c:v>
                </c:pt>
              </c:strCache>
            </c:strRef>
          </c:cat>
          <c:val>
            <c:numRef>
              <c:f>Sheet2!$B$7:$C$7</c:f>
              <c:numCache>
                <c:formatCode>General</c:formatCode>
                <c:ptCount val="2"/>
                <c:pt idx="0">
                  <c:v>13.7</c:v>
                </c:pt>
                <c:pt idx="1">
                  <c:v>28</c:v>
                </c:pt>
              </c:numCache>
            </c:numRef>
          </c:val>
          <c:extLst>
            <c:ext xmlns:c16="http://schemas.microsoft.com/office/drawing/2014/chart" uri="{C3380CC4-5D6E-409C-BE32-E72D297353CC}">
              <c16:uniqueId val="{00000000-9741-BE40-BB0D-7D8B2C45B1D9}"/>
            </c:ext>
          </c:extLst>
        </c:ser>
        <c:ser>
          <c:idx val="1"/>
          <c:order val="1"/>
          <c:tx>
            <c:strRef>
              <c:f>Sheet2!$A$8</c:f>
              <c:strCache>
                <c:ptCount val="1"/>
                <c:pt idx="0">
                  <c:v>Water and Sewage</c:v>
                </c:pt>
              </c:strCache>
            </c:strRef>
          </c:tx>
          <c:spPr>
            <a:solidFill>
              <a:srgbClr val="2B36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ptos" panose="020B0004020202020204" pitchFamily="34" charset="0"/>
                    <a:ea typeface="+mn-ea"/>
                    <a:cs typeface="+mn-cs"/>
                  </a:defRPr>
                </a:pPr>
                <a:endParaRPr lang="en-R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Sheet2!$B$6:$C$6</c:f>
              <c:strCache>
                <c:ptCount val="2"/>
                <c:pt idx="0">
                  <c:v>Paid Amount (MLD Ron)</c:v>
                </c:pt>
                <c:pt idx="1">
                  <c:v>Contracted Amount (MLD Ron)</c:v>
                </c:pt>
              </c:strCache>
            </c:strRef>
          </c:cat>
          <c:val>
            <c:numRef>
              <c:f>Sheet2!$B$8:$C$8</c:f>
              <c:numCache>
                <c:formatCode>General</c:formatCode>
                <c:ptCount val="2"/>
                <c:pt idx="0">
                  <c:v>5.6</c:v>
                </c:pt>
                <c:pt idx="1">
                  <c:v>17</c:v>
                </c:pt>
              </c:numCache>
            </c:numRef>
          </c:val>
          <c:extLst>
            <c:ext xmlns:c16="http://schemas.microsoft.com/office/drawing/2014/chart" uri="{C3380CC4-5D6E-409C-BE32-E72D297353CC}">
              <c16:uniqueId val="{00000001-9741-BE40-BB0D-7D8B2C45B1D9}"/>
            </c:ext>
          </c:extLst>
        </c:ser>
        <c:dLbls>
          <c:dLblPos val="inEnd"/>
          <c:showLegendKey val="0"/>
          <c:showVal val="1"/>
          <c:showCatName val="0"/>
          <c:showSerName val="0"/>
          <c:showPercent val="0"/>
          <c:showBubbleSize val="0"/>
        </c:dLbls>
        <c:gapWidth val="182"/>
        <c:axId val="1195047344"/>
        <c:axId val="1199332400"/>
      </c:barChart>
      <c:catAx>
        <c:axId val="119504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panose="020B0004020202020204" pitchFamily="34" charset="0"/>
                <a:ea typeface="+mn-ea"/>
                <a:cs typeface="+mn-cs"/>
              </a:defRPr>
            </a:pPr>
            <a:endParaRPr lang="en-RO"/>
          </a:p>
        </c:txPr>
        <c:crossAx val="1199332400"/>
        <c:crosses val="autoZero"/>
        <c:auto val="1"/>
        <c:lblAlgn val="ctr"/>
        <c:lblOffset val="100"/>
        <c:noMultiLvlLbl val="0"/>
      </c:catAx>
      <c:valAx>
        <c:axId val="119933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119504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ptos" panose="020B0004020202020204" pitchFamily="34" charset="0"/>
              <a:ea typeface="+mn-ea"/>
              <a:cs typeface="+mn-cs"/>
            </a:defRPr>
          </a:pPr>
          <a:endParaRPr lang="en-R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R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Sheet3!$B$1</c:f>
              <c:strCache>
                <c:ptCount val="1"/>
                <c:pt idx="0">
                  <c:v>Total Allocation (mil EUR)</c:v>
                </c:pt>
              </c:strCache>
            </c:strRef>
          </c:tx>
          <c:spPr>
            <a:solidFill>
              <a:srgbClr val="D86D37"/>
            </a:solidFill>
            <a:ln>
              <a:noFill/>
            </a:ln>
            <a:effectLst/>
          </c:spPr>
          <c:invertIfNegative val="0"/>
          <c:dLbls>
            <c:dLbl>
              <c:idx val="0"/>
              <c:tx>
                <c:rich>
                  <a:bodyPr/>
                  <a:lstStyle/>
                  <a:p>
                    <a:r>
                      <a:rPr lang="en-US"/>
                      <a:t>100%</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EA-974D-80F9-C6030443A394}"/>
                </c:ext>
              </c:extLst>
            </c:dLbl>
            <c:dLbl>
              <c:idx val="1"/>
              <c:tx>
                <c:rich>
                  <a:bodyPr/>
                  <a:lstStyle/>
                  <a:p>
                    <a:r>
                      <a:rPr lang="en-US"/>
                      <a:t>100%</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EA-974D-80F9-C6030443A394}"/>
                </c:ext>
              </c:extLst>
            </c:dLbl>
            <c:dLbl>
              <c:idx val="2"/>
              <c:tx>
                <c:rich>
                  <a:bodyPr/>
                  <a:lstStyle/>
                  <a:p>
                    <a:r>
                      <a:rPr lang="en-US"/>
                      <a:t>100%</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EA-974D-80F9-C6030443A394}"/>
                </c:ext>
              </c:extLst>
            </c:dLbl>
            <c:dLbl>
              <c:idx val="3"/>
              <c:tx>
                <c:rich>
                  <a:bodyPr/>
                  <a:lstStyle/>
                  <a:p>
                    <a:r>
                      <a:rPr lang="en-US"/>
                      <a:t>100%</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EA-974D-80F9-C6030443A39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ptos" panose="020B0004020202020204" pitchFamily="34" charset="0"/>
                    <a:ea typeface="+mn-ea"/>
                    <a:cs typeface="+mn-cs"/>
                  </a:defRPr>
                </a:pPr>
                <a:endParaRPr lang="en-R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Sheet3!$A$2:$A$5</c:f>
              <c:strCache>
                <c:ptCount val="4"/>
                <c:pt idx="0">
                  <c:v>C1: Water Management</c:v>
                </c:pt>
                <c:pt idx="1">
                  <c:v>C3: Waste Management</c:v>
                </c:pt>
                <c:pt idx="2">
                  <c:v>C5: Renovation Wave</c:v>
                </c:pt>
                <c:pt idx="3">
                  <c:v>C10: Local Fund</c:v>
                </c:pt>
              </c:strCache>
            </c:strRef>
          </c:cat>
          <c:val>
            <c:numRef>
              <c:f>Sheet3!$B$2:$B$5</c:f>
              <c:numCache>
                <c:formatCode>General</c:formatCode>
                <c:ptCount val="4"/>
                <c:pt idx="0">
                  <c:v>403.3</c:v>
                </c:pt>
                <c:pt idx="1">
                  <c:v>469</c:v>
                </c:pt>
                <c:pt idx="2">
                  <c:v>1933.4</c:v>
                </c:pt>
                <c:pt idx="3">
                  <c:v>1649.5</c:v>
                </c:pt>
              </c:numCache>
            </c:numRef>
          </c:val>
          <c:extLst>
            <c:ext xmlns:c16="http://schemas.microsoft.com/office/drawing/2014/chart" uri="{C3380CC4-5D6E-409C-BE32-E72D297353CC}">
              <c16:uniqueId val="{00000000-9CEA-974D-80F9-C6030443A394}"/>
            </c:ext>
          </c:extLst>
        </c:ser>
        <c:ser>
          <c:idx val="1"/>
          <c:order val="1"/>
          <c:tx>
            <c:strRef>
              <c:f>Sheet3!$C$1</c:f>
              <c:strCache>
                <c:ptCount val="1"/>
                <c:pt idx="0">
                  <c:v>Executed (mil EUR)</c:v>
                </c:pt>
              </c:strCache>
            </c:strRef>
          </c:tx>
          <c:spPr>
            <a:solidFill>
              <a:srgbClr val="282E37"/>
            </a:solidFill>
            <a:ln>
              <a:noFill/>
            </a:ln>
            <a:effectLst/>
          </c:spPr>
          <c:invertIfNegative val="0"/>
          <c:dLbls>
            <c:dLbl>
              <c:idx val="0"/>
              <c:tx>
                <c:rich>
                  <a:bodyPr/>
                  <a:lstStyle/>
                  <a:p>
                    <a:r>
                      <a:rPr lang="en-US"/>
                      <a:t>24.2%</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EA-974D-80F9-C6030443A394}"/>
                </c:ext>
              </c:extLst>
            </c:dLbl>
            <c:dLbl>
              <c:idx val="1"/>
              <c:tx>
                <c:rich>
                  <a:bodyPr/>
                  <a:lstStyle/>
                  <a:p>
                    <a:r>
                      <a:rPr lang="en-US"/>
                      <a:t>35.4%</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EA-974D-80F9-C6030443A394}"/>
                </c:ext>
              </c:extLst>
            </c:dLbl>
            <c:dLbl>
              <c:idx val="2"/>
              <c:tx>
                <c:rich>
                  <a:bodyPr/>
                  <a:lstStyle/>
                  <a:p>
                    <a:r>
                      <a:rPr lang="en-US"/>
                      <a:t>60.2%</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EA-974D-80F9-C6030443A394}"/>
                </c:ext>
              </c:extLst>
            </c:dLbl>
            <c:dLbl>
              <c:idx val="3"/>
              <c:tx>
                <c:rich>
                  <a:bodyPr/>
                  <a:lstStyle/>
                  <a:p>
                    <a:r>
                      <a:rPr lang="en-US"/>
                      <a:t>51.3%</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EA-974D-80F9-C6030443A39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ptos" panose="020B0004020202020204" pitchFamily="34" charset="0"/>
                    <a:ea typeface="+mn-ea"/>
                    <a:cs typeface="+mn-cs"/>
                  </a:defRPr>
                </a:pPr>
                <a:endParaRPr lang="en-R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Sheet3!$A$2:$A$5</c:f>
              <c:strCache>
                <c:ptCount val="4"/>
                <c:pt idx="0">
                  <c:v>C1: Water Management</c:v>
                </c:pt>
                <c:pt idx="1">
                  <c:v>C3: Waste Management</c:v>
                </c:pt>
                <c:pt idx="2">
                  <c:v>C5: Renovation Wave</c:v>
                </c:pt>
                <c:pt idx="3">
                  <c:v>C10: Local Fund</c:v>
                </c:pt>
              </c:strCache>
            </c:strRef>
          </c:cat>
          <c:val>
            <c:numRef>
              <c:f>Sheet3!$C$2:$C$5</c:f>
              <c:numCache>
                <c:formatCode>General</c:formatCode>
                <c:ptCount val="4"/>
                <c:pt idx="0">
                  <c:v>97.6</c:v>
                </c:pt>
                <c:pt idx="1">
                  <c:v>166.1</c:v>
                </c:pt>
                <c:pt idx="2">
                  <c:v>1164.5</c:v>
                </c:pt>
                <c:pt idx="3">
                  <c:v>846.7</c:v>
                </c:pt>
              </c:numCache>
            </c:numRef>
          </c:val>
          <c:extLst>
            <c:ext xmlns:c16="http://schemas.microsoft.com/office/drawing/2014/chart" uri="{C3380CC4-5D6E-409C-BE32-E72D297353CC}">
              <c16:uniqueId val="{00000001-9CEA-974D-80F9-C6030443A394}"/>
            </c:ext>
          </c:extLst>
        </c:ser>
        <c:dLbls>
          <c:dLblPos val="inEnd"/>
          <c:showLegendKey val="0"/>
          <c:showVal val="1"/>
          <c:showCatName val="0"/>
          <c:showSerName val="0"/>
          <c:showPercent val="0"/>
          <c:showBubbleSize val="0"/>
        </c:dLbls>
        <c:gapWidth val="182"/>
        <c:axId val="1652767680"/>
        <c:axId val="1210619680"/>
      </c:barChart>
      <c:catAx>
        <c:axId val="165276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panose="020B0004020202020204" pitchFamily="34" charset="0"/>
                <a:ea typeface="+mn-ea"/>
                <a:cs typeface="+mn-cs"/>
              </a:defRPr>
            </a:pPr>
            <a:endParaRPr lang="en-RO"/>
          </a:p>
        </c:txPr>
        <c:crossAx val="1210619680"/>
        <c:crosses val="autoZero"/>
        <c:auto val="1"/>
        <c:lblAlgn val="ctr"/>
        <c:lblOffset val="100"/>
        <c:noMultiLvlLbl val="0"/>
      </c:catAx>
      <c:valAx>
        <c:axId val="121061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O"/>
          </a:p>
        </c:txPr>
        <c:crossAx val="1652767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ptos" panose="020B0004020202020204" pitchFamily="34" charset="0"/>
              <a:ea typeface="+mn-ea"/>
              <a:cs typeface="+mn-cs"/>
            </a:defRPr>
          </a:pPr>
          <a:endParaRPr lang="en-R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R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254000</xdr:colOff>
      <xdr:row>10</xdr:row>
      <xdr:rowOff>139700</xdr:rowOff>
    </xdr:from>
    <xdr:to>
      <xdr:col>28</xdr:col>
      <xdr:colOff>113800</xdr:colOff>
      <xdr:row>42</xdr:row>
      <xdr:rowOff>142160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635000</xdr:colOff>
      <xdr:row>9</xdr:row>
      <xdr:rowOff>38100</xdr:rowOff>
    </xdr:from>
    <xdr:to>
      <xdr:col>15</xdr:col>
      <xdr:colOff>177800</xdr:colOff>
      <xdr:row>36</xdr:row>
      <xdr:rowOff>120650</xdr:rowOff>
    </xdr:to>
    <xdr:graphicFrame macro="">
      <xdr:nvGraphicFramePr>
        <xdr:cNvPr id="4" name="Chart 3">
          <a:extLst>
            <a:ext uri="{FF2B5EF4-FFF2-40B4-BE49-F238E27FC236}">
              <a16:creationId xmlns:a16="http://schemas.microsoft.com/office/drawing/2014/main" id="{57F673BE-E43D-CE51-0CA5-969C9F00D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304800</xdr:colOff>
      <xdr:row>17</xdr:row>
      <xdr:rowOff>139700</xdr:rowOff>
    </xdr:from>
    <xdr:to>
      <xdr:col>19</xdr:col>
      <xdr:colOff>342900</xdr:colOff>
      <xdr:row>42</xdr:row>
      <xdr:rowOff>107950</xdr:rowOff>
    </xdr:to>
    <xdr:graphicFrame macro="">
      <xdr:nvGraphicFramePr>
        <xdr:cNvPr id="6" name="Chart 5">
          <a:extLst>
            <a:ext uri="{FF2B5EF4-FFF2-40B4-BE49-F238E27FC236}">
              <a16:creationId xmlns:a16="http://schemas.microsoft.com/office/drawing/2014/main" id="{D806FF5C-26B9-2775-E557-49D8F72A5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280458</xdr:colOff>
      <xdr:row>15</xdr:row>
      <xdr:rowOff>132294</xdr:rowOff>
    </xdr:from>
    <xdr:to>
      <xdr:col>15</xdr:col>
      <xdr:colOff>79374</xdr:colOff>
      <xdr:row>54</xdr:row>
      <xdr:rowOff>158751</xdr:rowOff>
    </xdr:to>
    <xdr:graphicFrame macro="">
      <xdr:nvGraphicFramePr>
        <xdr:cNvPr id="4" name="Chart 3">
          <a:extLst>
            <a:ext uri="{FF2B5EF4-FFF2-40B4-BE49-F238E27FC236}">
              <a16:creationId xmlns:a16="http://schemas.microsoft.com/office/drawing/2014/main" id="{A581F863-A969-8E86-2ADB-5389CC266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showGridLines="0" zoomScaleNormal="100" workbookViewId="0">
      <selection activeCell="AC7" sqref="AC7"/>
    </sheetView>
  </sheetViews>
  <sheetFormatPr baseColWidth="10" defaultColWidth="8.6640625" defaultRowHeight="15" x14ac:dyDescent="0.2"/>
  <cols>
    <col min="1" max="1" width="14" customWidth="1"/>
    <col min="2" max="2" width="16" customWidth="1"/>
    <col min="3" max="3" width="28" customWidth="1"/>
    <col min="4" max="4" width="16" customWidth="1"/>
    <col min="5" max="5" width="30" customWidth="1"/>
  </cols>
  <sheetData>
    <row r="1" spans="1:5" ht="31.5" customHeight="1" x14ac:dyDescent="0.2">
      <c r="A1" s="3" t="s">
        <v>0</v>
      </c>
      <c r="B1" s="3"/>
      <c r="C1" s="3"/>
      <c r="D1" s="3"/>
      <c r="E1" s="3"/>
    </row>
    <row r="2" spans="1:5" ht="30" customHeight="1" x14ac:dyDescent="0.2">
      <c r="A2" s="2" t="s">
        <v>1</v>
      </c>
      <c r="B2" s="2"/>
      <c r="C2" s="2"/>
      <c r="D2" s="2"/>
      <c r="E2" s="2"/>
    </row>
    <row r="3" spans="1:5" ht="6" customHeight="1" x14ac:dyDescent="0.2"/>
    <row r="4" spans="1:5" ht="33.75" customHeight="1" x14ac:dyDescent="0.2">
      <c r="A4" s="4" t="s">
        <v>2</v>
      </c>
      <c r="B4" s="4" t="s">
        <v>3</v>
      </c>
      <c r="C4" s="4" t="s">
        <v>4</v>
      </c>
      <c r="D4" s="4" t="s">
        <v>5</v>
      </c>
      <c r="E4" s="4" t="s">
        <v>6</v>
      </c>
    </row>
    <row r="5" spans="1:5" ht="18" customHeight="1" x14ac:dyDescent="0.2">
      <c r="A5" s="5" t="s">
        <v>7</v>
      </c>
      <c r="B5" s="6">
        <v>3.86</v>
      </c>
      <c r="C5" s="7">
        <v>0.08</v>
      </c>
      <c r="D5" s="8">
        <v>0.06</v>
      </c>
      <c r="E5" s="9" t="s">
        <v>8</v>
      </c>
    </row>
    <row r="6" spans="1:5" ht="18" customHeight="1" x14ac:dyDescent="0.2">
      <c r="A6" s="5" t="s">
        <v>9</v>
      </c>
      <c r="B6" s="6">
        <v>5.74</v>
      </c>
      <c r="C6" s="7">
        <v>0.02</v>
      </c>
      <c r="D6" s="8">
        <v>0.06</v>
      </c>
      <c r="E6" s="9" t="s">
        <v>10</v>
      </c>
    </row>
    <row r="7" spans="1:5" ht="18" customHeight="1" x14ac:dyDescent="0.2">
      <c r="A7" s="10" t="s">
        <v>11</v>
      </c>
      <c r="B7" s="11">
        <v>7.57</v>
      </c>
      <c r="C7" s="12">
        <v>0.01</v>
      </c>
      <c r="D7" s="13">
        <v>0.06</v>
      </c>
      <c r="E7" s="14" t="s">
        <v>12</v>
      </c>
    </row>
    <row r="8" spans="1:5" ht="18" customHeight="1" x14ac:dyDescent="0.2">
      <c r="A8" s="10" t="s">
        <v>13</v>
      </c>
      <c r="B8" s="11">
        <v>8.0399999999999991</v>
      </c>
      <c r="C8" s="12">
        <v>0.01</v>
      </c>
      <c r="D8" s="13">
        <v>0.06</v>
      </c>
      <c r="E8" s="14" t="s">
        <v>14</v>
      </c>
    </row>
    <row r="9" spans="1:5" ht="18" customHeight="1" x14ac:dyDescent="0.2">
      <c r="A9" s="10" t="s">
        <v>15</v>
      </c>
      <c r="B9" s="11">
        <v>7.18</v>
      </c>
      <c r="C9" s="15">
        <v>-0.02</v>
      </c>
      <c r="D9" s="13">
        <v>0.06</v>
      </c>
      <c r="E9" s="14" t="s">
        <v>12</v>
      </c>
    </row>
    <row r="10" spans="1:5" ht="18" customHeight="1" x14ac:dyDescent="0.2">
      <c r="A10" s="10" t="s">
        <v>16</v>
      </c>
      <c r="B10" s="11">
        <v>6.54</v>
      </c>
      <c r="C10" s="15">
        <v>-7.0000000000000007E-2</v>
      </c>
      <c r="D10" s="13">
        <v>0.06</v>
      </c>
      <c r="E10" s="14" t="s">
        <v>12</v>
      </c>
    </row>
    <row r="11" spans="1:5" ht="18" customHeight="1" x14ac:dyDescent="0.2">
      <c r="A11" s="10" t="s">
        <v>17</v>
      </c>
      <c r="B11" s="11">
        <v>6.44</v>
      </c>
      <c r="C11" s="15">
        <v>-0.09</v>
      </c>
      <c r="D11" s="13">
        <v>0.06</v>
      </c>
      <c r="E11" s="14" t="s">
        <v>12</v>
      </c>
    </row>
    <row r="12" spans="1:5" ht="18" customHeight="1" x14ac:dyDescent="0.2">
      <c r="A12" s="10" t="s">
        <v>18</v>
      </c>
      <c r="B12" s="11">
        <v>6.29</v>
      </c>
      <c r="C12" s="15">
        <v>-0.09</v>
      </c>
      <c r="D12" s="13">
        <v>0.06</v>
      </c>
      <c r="E12" s="14" t="s">
        <v>12</v>
      </c>
    </row>
    <row r="13" spans="1:5" ht="18" customHeight="1" x14ac:dyDescent="0.2">
      <c r="A13" s="10" t="s">
        <v>19</v>
      </c>
      <c r="B13" s="11">
        <v>6.04</v>
      </c>
      <c r="C13" s="16">
        <v>-0.34</v>
      </c>
      <c r="D13" s="13">
        <v>0.06</v>
      </c>
      <c r="E13" s="14" t="s">
        <v>20</v>
      </c>
    </row>
    <row r="14" spans="1:5" ht="18" customHeight="1" x14ac:dyDescent="0.2">
      <c r="A14" s="17" t="s">
        <v>21</v>
      </c>
      <c r="B14" s="18">
        <v>5.77</v>
      </c>
      <c r="C14" s="19">
        <v>-0.13</v>
      </c>
      <c r="D14" s="20">
        <v>0.06</v>
      </c>
      <c r="E14" s="21" t="s">
        <v>10</v>
      </c>
    </row>
    <row r="15" spans="1:5" ht="18" customHeight="1" x14ac:dyDescent="0.2">
      <c r="A15" s="17" t="s">
        <v>22</v>
      </c>
      <c r="B15" s="18">
        <v>5.58</v>
      </c>
      <c r="C15" s="19">
        <v>-0.27500000000000002</v>
      </c>
      <c r="D15" s="20">
        <v>0.06</v>
      </c>
      <c r="E15" s="21" t="s">
        <v>23</v>
      </c>
    </row>
    <row r="16" spans="1:5" ht="18" customHeight="1" x14ac:dyDescent="0.2">
      <c r="A16" s="17" t="s">
        <v>24</v>
      </c>
      <c r="B16" s="18">
        <v>5.6</v>
      </c>
      <c r="C16" s="19">
        <v>-0.15</v>
      </c>
      <c r="D16" s="20">
        <v>0.06</v>
      </c>
      <c r="E16" s="21" t="s">
        <v>10</v>
      </c>
    </row>
    <row r="17" spans="1:5" ht="18" customHeight="1" x14ac:dyDescent="0.2">
      <c r="A17" s="10" t="s">
        <v>25</v>
      </c>
      <c r="B17" s="11">
        <v>6.25</v>
      </c>
      <c r="C17" s="15">
        <v>-0.05</v>
      </c>
      <c r="D17" s="13">
        <v>0.06</v>
      </c>
      <c r="E17" s="14" t="s">
        <v>12</v>
      </c>
    </row>
    <row r="18" spans="1:5" ht="18" customHeight="1" x14ac:dyDescent="0.2">
      <c r="A18" s="10" t="s">
        <v>26</v>
      </c>
      <c r="B18" s="11">
        <v>7.05</v>
      </c>
      <c r="C18" s="15">
        <v>-0.03</v>
      </c>
      <c r="D18" s="13">
        <v>0.06</v>
      </c>
      <c r="E18" s="14" t="s">
        <v>27</v>
      </c>
    </row>
    <row r="19" spans="1:5" ht="18" customHeight="1" x14ac:dyDescent="0.2">
      <c r="A19" s="10" t="s">
        <v>28</v>
      </c>
      <c r="B19" s="11">
        <v>6.6</v>
      </c>
      <c r="C19" s="12">
        <v>0.02</v>
      </c>
      <c r="D19" s="13">
        <v>0.06</v>
      </c>
      <c r="E19" s="14" t="s">
        <v>12</v>
      </c>
    </row>
    <row r="20" spans="1:5" ht="18" customHeight="1" x14ac:dyDescent="0.2">
      <c r="A20" s="10" t="s">
        <v>29</v>
      </c>
      <c r="B20" s="11">
        <v>6.13</v>
      </c>
      <c r="C20" s="12">
        <v>0.04</v>
      </c>
      <c r="D20" s="13">
        <v>0.06</v>
      </c>
      <c r="E20" s="14" t="s">
        <v>12</v>
      </c>
    </row>
    <row r="56" spans="1:5" ht="24" customHeight="1" x14ac:dyDescent="0.2">
      <c r="A56" s="1" t="s">
        <v>30</v>
      </c>
      <c r="B56" s="1"/>
      <c r="C56" s="1"/>
      <c r="D56" s="1"/>
      <c r="E56" s="1"/>
    </row>
    <row r="57" spans="1:5" ht="24" customHeight="1" x14ac:dyDescent="0.2">
      <c r="A57" s="1"/>
      <c r="B57" s="1"/>
      <c r="C57" s="1"/>
      <c r="D57" s="1"/>
      <c r="E57" s="1"/>
    </row>
  </sheetData>
  <mergeCells count="3">
    <mergeCell ref="A1:E1"/>
    <mergeCell ref="A2:E2"/>
    <mergeCell ref="A56:E57"/>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8C325-5BD6-9F4D-B4EA-58B54B04C5FF}">
  <dimension ref="A1:D17"/>
  <sheetViews>
    <sheetView workbookViewId="0">
      <selection activeCell="I47" sqref="I47"/>
    </sheetView>
  </sheetViews>
  <sheetFormatPr baseColWidth="10" defaultRowHeight="15" x14ac:dyDescent="0.2"/>
  <sheetData>
    <row r="1" spans="1:4" ht="60" x14ac:dyDescent="0.2">
      <c r="A1" s="4" t="s">
        <v>2</v>
      </c>
      <c r="B1" s="4" t="s">
        <v>4</v>
      </c>
      <c r="C1" s="4" t="s">
        <v>3</v>
      </c>
      <c r="D1" s="4" t="s">
        <v>3</v>
      </c>
    </row>
    <row r="2" spans="1:4" x14ac:dyDescent="0.2">
      <c r="A2" s="5" t="s">
        <v>7</v>
      </c>
      <c r="B2" s="7">
        <v>0.08</v>
      </c>
      <c r="C2" s="6">
        <v>3.86</v>
      </c>
      <c r="D2" s="6">
        <v>3.86</v>
      </c>
    </row>
    <row r="3" spans="1:4" x14ac:dyDescent="0.2">
      <c r="A3" s="5" t="s">
        <v>9</v>
      </c>
      <c r="B3" s="7">
        <v>0.02</v>
      </c>
      <c r="C3" s="6">
        <v>5.74</v>
      </c>
      <c r="D3" s="6">
        <v>5.74</v>
      </c>
    </row>
    <row r="4" spans="1:4" x14ac:dyDescent="0.2">
      <c r="A4" s="10" t="s">
        <v>11</v>
      </c>
      <c r="B4" s="12">
        <v>0.01</v>
      </c>
      <c r="C4" s="11">
        <v>7.57</v>
      </c>
      <c r="D4" s="11">
        <v>7.57</v>
      </c>
    </row>
    <row r="5" spans="1:4" x14ac:dyDescent="0.2">
      <c r="A5" s="10" t="s">
        <v>13</v>
      </c>
      <c r="B5" s="12">
        <v>0.01</v>
      </c>
      <c r="C5" s="11">
        <v>8.0399999999999991</v>
      </c>
      <c r="D5" s="11">
        <v>8.0399999999999991</v>
      </c>
    </row>
    <row r="6" spans="1:4" x14ac:dyDescent="0.2">
      <c r="A6" s="10" t="s">
        <v>15</v>
      </c>
      <c r="B6" s="15">
        <v>-0.02</v>
      </c>
      <c r="C6" s="11">
        <v>7.18</v>
      </c>
      <c r="D6" s="11">
        <v>7.18</v>
      </c>
    </row>
    <row r="7" spans="1:4" x14ac:dyDescent="0.2">
      <c r="A7" s="10" t="s">
        <v>16</v>
      </c>
      <c r="B7" s="15">
        <v>-7.0000000000000007E-2</v>
      </c>
      <c r="C7" s="11">
        <v>6.54</v>
      </c>
      <c r="D7" s="11">
        <v>6.54</v>
      </c>
    </row>
    <row r="8" spans="1:4" x14ac:dyDescent="0.2">
      <c r="A8" s="10" t="s">
        <v>17</v>
      </c>
      <c r="B8" s="15">
        <v>-0.09</v>
      </c>
      <c r="C8" s="11">
        <v>6.44</v>
      </c>
      <c r="D8" s="11">
        <v>6.44</v>
      </c>
    </row>
    <row r="9" spans="1:4" x14ac:dyDescent="0.2">
      <c r="A9" s="10" t="s">
        <v>18</v>
      </c>
      <c r="B9" s="15">
        <v>-0.09</v>
      </c>
      <c r="C9" s="11">
        <v>6.29</v>
      </c>
      <c r="D9" s="11">
        <v>6.29</v>
      </c>
    </row>
    <row r="10" spans="1:4" x14ac:dyDescent="0.2">
      <c r="A10" s="10" t="s">
        <v>19</v>
      </c>
      <c r="B10" s="16">
        <v>-0.34</v>
      </c>
      <c r="C10" s="11">
        <v>6.04</v>
      </c>
      <c r="D10" s="11">
        <v>6.04</v>
      </c>
    </row>
    <row r="11" spans="1:4" x14ac:dyDescent="0.2">
      <c r="A11" s="17" t="s">
        <v>21</v>
      </c>
      <c r="B11" s="19">
        <v>-0.13</v>
      </c>
      <c r="C11" s="18">
        <v>5.77</v>
      </c>
      <c r="D11" s="18">
        <v>5.77</v>
      </c>
    </row>
    <row r="12" spans="1:4" x14ac:dyDescent="0.2">
      <c r="A12" s="17" t="s">
        <v>22</v>
      </c>
      <c r="B12" s="19">
        <v>-0.27500000000000002</v>
      </c>
      <c r="C12" s="18">
        <v>5.58</v>
      </c>
      <c r="D12" s="18">
        <v>5.58</v>
      </c>
    </row>
    <row r="13" spans="1:4" x14ac:dyDescent="0.2">
      <c r="A13" s="17" t="s">
        <v>24</v>
      </c>
      <c r="B13" s="19">
        <v>-0.15</v>
      </c>
      <c r="C13" s="18">
        <v>5.6</v>
      </c>
      <c r="D13" s="18">
        <v>5.6</v>
      </c>
    </row>
    <row r="14" spans="1:4" x14ac:dyDescent="0.2">
      <c r="A14" s="10" t="s">
        <v>25</v>
      </c>
      <c r="B14" s="15">
        <v>-0.05</v>
      </c>
      <c r="C14" s="11">
        <v>6.25</v>
      </c>
      <c r="D14" s="11">
        <v>6.25</v>
      </c>
    </row>
    <row r="15" spans="1:4" x14ac:dyDescent="0.2">
      <c r="A15" s="10" t="s">
        <v>26</v>
      </c>
      <c r="B15" s="15">
        <v>-0.03</v>
      </c>
      <c r="C15" s="11">
        <v>7.05</v>
      </c>
      <c r="D15" s="11">
        <v>7.05</v>
      </c>
    </row>
    <row r="16" spans="1:4" x14ac:dyDescent="0.2">
      <c r="A16" s="10" t="s">
        <v>28</v>
      </c>
      <c r="B16" s="12">
        <v>0.02</v>
      </c>
      <c r="C16" s="11">
        <v>6.6</v>
      </c>
      <c r="D16" s="11">
        <v>6.6</v>
      </c>
    </row>
    <row r="17" spans="1:4" x14ac:dyDescent="0.2">
      <c r="A17" s="10" t="s">
        <v>29</v>
      </c>
      <c r="B17" s="12">
        <v>0.04</v>
      </c>
      <c r="C17" s="11">
        <v>6.13</v>
      </c>
      <c r="D17" s="11">
        <v>6.13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C0766-75D9-A64A-9EF2-20DD69688CB3}">
  <dimension ref="A1:C8"/>
  <sheetViews>
    <sheetView workbookViewId="0">
      <selection activeCell="V11" sqref="U11:V11"/>
    </sheetView>
  </sheetViews>
  <sheetFormatPr baseColWidth="10" defaultRowHeight="15" x14ac:dyDescent="0.2"/>
  <cols>
    <col min="1" max="1" width="27.5" customWidth="1"/>
    <col min="2" max="2" width="25.5" customWidth="1"/>
    <col min="3" max="3" width="31.6640625" customWidth="1"/>
  </cols>
  <sheetData>
    <row r="1" spans="1:3" x14ac:dyDescent="0.2">
      <c r="A1" s="22" t="s">
        <v>31</v>
      </c>
      <c r="B1" s="22" t="s">
        <v>32</v>
      </c>
      <c r="C1" s="22" t="s">
        <v>35</v>
      </c>
    </row>
    <row r="2" spans="1:3" x14ac:dyDescent="0.2">
      <c r="A2" s="22" t="s">
        <v>33</v>
      </c>
      <c r="B2" s="23">
        <v>28</v>
      </c>
      <c r="C2" s="23">
        <v>13.7</v>
      </c>
    </row>
    <row r="3" spans="1:3" x14ac:dyDescent="0.2">
      <c r="A3" s="22" t="s">
        <v>34</v>
      </c>
      <c r="B3" s="23">
        <v>17</v>
      </c>
      <c r="C3" s="23">
        <v>5.6</v>
      </c>
    </row>
    <row r="6" spans="1:3" x14ac:dyDescent="0.2">
      <c r="A6" s="22" t="s">
        <v>31</v>
      </c>
      <c r="B6" s="22" t="s">
        <v>38</v>
      </c>
      <c r="C6" s="22" t="s">
        <v>39</v>
      </c>
    </row>
    <row r="7" spans="1:3" x14ac:dyDescent="0.2">
      <c r="A7" s="22" t="s">
        <v>36</v>
      </c>
      <c r="B7" s="23">
        <v>13.7</v>
      </c>
      <c r="C7" s="23">
        <v>28</v>
      </c>
    </row>
    <row r="8" spans="1:3" x14ac:dyDescent="0.2">
      <c r="A8" s="22" t="s">
        <v>37</v>
      </c>
      <c r="B8" s="23">
        <v>5.6</v>
      </c>
      <c r="C8" s="23">
        <v>17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A757-56C0-CE49-832A-70C0952E367C}">
  <dimension ref="A1:D5"/>
  <sheetViews>
    <sheetView zoomScale="96" workbookViewId="0">
      <selection activeCell="H64" sqref="H64"/>
    </sheetView>
  </sheetViews>
  <sheetFormatPr baseColWidth="10" defaultRowHeight="15" x14ac:dyDescent="0.2"/>
  <cols>
    <col min="1" max="1" width="34" customWidth="1"/>
    <col min="2" max="2" width="27.6640625" customWidth="1"/>
    <col min="3" max="3" width="24.5" customWidth="1"/>
    <col min="4" max="4" width="23.33203125" customWidth="1"/>
  </cols>
  <sheetData>
    <row r="1" spans="1:4" x14ac:dyDescent="0.2">
      <c r="A1" s="22" t="s">
        <v>45</v>
      </c>
      <c r="B1" s="22" t="s">
        <v>51</v>
      </c>
      <c r="C1" s="22" t="s">
        <v>46</v>
      </c>
      <c r="D1" s="22" t="s">
        <v>40</v>
      </c>
    </row>
    <row r="2" spans="1:4" x14ac:dyDescent="0.2">
      <c r="A2" s="22" t="s">
        <v>47</v>
      </c>
      <c r="B2" s="23">
        <v>403.3</v>
      </c>
      <c r="C2" s="23">
        <v>97.6</v>
      </c>
      <c r="D2" s="22" t="s">
        <v>41</v>
      </c>
    </row>
    <row r="3" spans="1:4" x14ac:dyDescent="0.2">
      <c r="A3" s="22" t="s">
        <v>48</v>
      </c>
      <c r="B3" s="23">
        <v>469</v>
      </c>
      <c r="C3" s="23">
        <v>166.1</v>
      </c>
      <c r="D3" s="22" t="s">
        <v>42</v>
      </c>
    </row>
    <row r="4" spans="1:4" x14ac:dyDescent="0.2">
      <c r="A4" s="22" t="s">
        <v>49</v>
      </c>
      <c r="B4" s="23">
        <v>1933.4</v>
      </c>
      <c r="C4" s="23">
        <v>1164.5</v>
      </c>
      <c r="D4" s="22" t="s">
        <v>43</v>
      </c>
    </row>
    <row r="5" spans="1:4" x14ac:dyDescent="0.2">
      <c r="A5" s="22" t="s">
        <v>50</v>
      </c>
      <c r="B5" s="23">
        <v>1649.5</v>
      </c>
      <c r="C5" s="23">
        <v>846.7</v>
      </c>
      <c r="D5" s="22" t="s">
        <v>44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74129-D29B-2F48-8E4E-6F2DA5576501}">
  <dimension ref="A1"/>
  <sheetViews>
    <sheetView tabSelected="1" workbookViewId="0">
      <selection activeCell="G11" sqref="G11"/>
    </sheetView>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Chart</vt: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2</cp:revision>
  <dcterms:created xsi:type="dcterms:W3CDTF">2026-02-26T12:43:03Z</dcterms:created>
  <dcterms:modified xsi:type="dcterms:W3CDTF">2026-02-26T18:47:54Z</dcterms:modified>
  <dc:language>en-US</dc:language>
</cp:coreProperties>
</file>