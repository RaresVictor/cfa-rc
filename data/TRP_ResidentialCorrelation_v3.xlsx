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" sheetId="1" state="visible" r:id="rId3"/>
    <sheet name="Executive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<sst xmlns="http://schemas.openxmlformats.org/spreadsheetml/2006/main" count="134" uniqueCount="98">
  <si>
    <t xml:space="preserve">Romania: ROBOR 3M vs. Residential Construction Output — Inverse Correlation</t>
  </si>
  <si>
    <t xml:space="preserve">Private residential construction output YoY (%) collapses as ROBOR crosses 6% — stripping TRP of revenue diversification and concentrating exposure on state capex.  Source: INS Romania / BNR.  Note: 2025 Q1–Q4 estimated.</t>
  </si>
  <si>
    <t xml:space="preserve">Quarter</t>
  </si>
  <si>
    <t xml:space="preserve">ROBOR 3M
(%, avg)</t>
  </si>
  <si>
    <t xml:space="preserve">Residential Construction
Output YoY (%)</t>
  </si>
  <si>
    <t xml:space="preserve">ROBOR
Threshold 6%</t>
  </si>
  <si>
    <t xml:space="preserve">Regime</t>
  </si>
  <si>
    <t xml:space="preserve">Confirmed
Data</t>
  </si>
  <si>
    <t xml:space="preserve">Note</t>
  </si>
  <si>
    <t xml:space="preserve">Q1 2022</t>
  </si>
  <si>
    <t xml:space="preserve">Normal</t>
  </si>
  <si>
    <t xml:space="preserve">✔ INS</t>
  </si>
  <si>
    <t xml:space="preserve">Q2 2022</t>
  </si>
  <si>
    <t xml:space="preserve">Elevated</t>
  </si>
  <si>
    <t xml:space="preserve">ROBOR crosses 5% → demand cools</t>
  </si>
  <si>
    <t xml:space="preserve">Q3 2022</t>
  </si>
  <si>
    <t xml:space="preserve">⚠ HIGH RATE — Demand Destroyed</t>
  </si>
  <si>
    <t xml:space="preserve">Q4 2022</t>
  </si>
  <si>
    <t xml:space="preserve">Q1 2023</t>
  </si>
  <si>
    <t xml:space="preserve">Q2 2023</t>
  </si>
  <si>
    <t xml:space="preserve">Q3 2023</t>
  </si>
  <si>
    <t xml:space="preserve">Q4 2023</t>
  </si>
  <si>
    <t xml:space="preserve">Q1 2024</t>
  </si>
  <si>
    <t xml:space="preserve">Steepest decline recorded</t>
  </si>
  <si>
    <t xml:space="preserve">Q2 2024</t>
  </si>
  <si>
    <t xml:space="preserve">Q3 2024</t>
  </si>
  <si>
    <t xml:space="preserve">Jul-Aug: -27.5% confirmed</t>
  </si>
  <si>
    <t xml:space="preserve">Q4 2024</t>
  </si>
  <si>
    <t xml:space="preserve">Q1 2025</t>
  </si>
  <si>
    <t xml:space="preserve">est.</t>
  </si>
  <si>
    <t xml:space="preserve">Q2 2025</t>
  </si>
  <si>
    <t xml:space="preserve">Q3 2025</t>
  </si>
  <si>
    <t xml:space="preserve">Q4 2025</t>
  </si>
  <si>
    <t xml:space="preserve">📊  HOW TO READ:  Blue bars = private residential construction output YoY % (left axis).  When ROBOR (orange line, right axis) crosses the 6% threshold (red dashed line), bars turn sharply negative — reaching −34% in Q1 2024. This is the demand destruction mechanism.  Civil engineering (state-funded) offset the residential decline in total output, proving TRP's diversification is now illusory.</t>
  </si>
  <si>
    <t xml:space="preserve">TRP — Private Demand Destruction: The Case Against Revenue Diversification</t>
  </si>
  <si>
    <t xml:space="preserve">Romania Residential Construction Output YoY (%) vs ROBOR 3M | Source: INS Romania, BNR</t>
  </si>
  <si>
    <t xml:space="preserve">Year</t>
  </si>
  <si>
    <t xml:space="preserve">ROBOR 3M
(avg)</t>
  </si>
  <si>
    <t xml:space="preserve">Residential
Output YoY</t>
  </si>
  <si>
    <t xml:space="preserve">Civil Eng.
Output YoY</t>
  </si>
  <si>
    <t xml:space="preserve">Total Const.
YoY</t>
  </si>
  <si>
    <t xml:space="preserve">Private Demand
Signal</t>
  </si>
  <si>
    <t xml:space="preserve">TRP Implication</t>
  </si>
  <si>
    <t xml:space="preserve">ROBOR 3M (%)</t>
  </si>
  <si>
    <t xml:space="preserve">Residential YoY (%)</t>
  </si>
  <si>
    <t xml:space="preserve">Threshold 6%</t>
  </si>
  <si>
    <t xml:space="preserve">2021</t>
  </si>
  <si>
    <t xml:space="preserve">1.8%</t>
  </si>
  <si>
    <t xml:space="preserve">+12%</t>
  </si>
  <si>
    <t xml:space="preserve">+8%</t>
  </si>
  <si>
    <t xml:space="preserve">✅ Strong</t>
  </si>
  <si>
    <t xml:space="preserve">Full revenue diversification</t>
  </si>
  <si>
    <t xml:space="preserve">2022</t>
  </si>
  <si>
    <t xml:space="preserve">5.5%</t>
  </si>
  <si>
    <t xml:space="preserve">+3%</t>
  </si>
  <si>
    <t xml:space="preserve">+27%</t>
  </si>
  <si>
    <t xml:space="preserve">+13%</t>
  </si>
  <si>
    <t xml:space="preserve">⚠ Cooling</t>
  </si>
  <si>
    <t xml:space="preserve">Residential slowing; civil booming</t>
  </si>
  <si>
    <t xml:space="preserve">2023</t>
  </si>
  <si>
    <t xml:space="preserve">6.7%</t>
  </si>
  <si>
    <t xml:space="preserve">−6.6%</t>
  </si>
  <si>
    <t xml:space="preserve">+33%</t>
  </si>
  <si>
    <t xml:space="preserve">+14%</t>
  </si>
  <si>
    <t xml:space="preserve">🔴 Contracting</t>
  </si>
  <si>
    <t xml:space="preserve">Residential drag masked by state spend</t>
  </si>
  <si>
    <t xml:space="preserve">2024</t>
  </si>
  <si>
    <t xml:space="preserve">5.8%</t>
  </si>
  <si>
    <t xml:space="preserve">−22%</t>
  </si>
  <si>
    <t xml:space="preserve">+4%</t>
  </si>
  <si>
    <t xml:space="preserve">−6%</t>
  </si>
  <si>
    <t xml:space="preserve">🔴 Collapsing</t>
  </si>
  <si>
    <t xml:space="preserve">Private demand destroyed; state tapering</t>
  </si>
  <si>
    <t xml:space="preserve">2025e</t>
  </si>
  <si>
    <t xml:space="preserve">6.2%</t>
  </si>
  <si>
    <t xml:space="preserve">~−5%</t>
  </si>
  <si>
    <t xml:space="preserve">+5%</t>
  </si>
  <si>
    <t xml:space="preserve">⚠ Still weak</t>
  </si>
  <si>
    <t xml:space="preserve">Dependent on state budget + EU funds</t>
  </si>
  <si>
    <t xml:space="preserve">ROBOR
Threshold</t>
  </si>
  <si>
    <t xml:space="preserve">Residential
Collapse 2024</t>
  </si>
  <si>
    <t xml:space="preserve">Q1 2024
Peak Decline</t>
  </si>
  <si>
    <t xml:space="preserve">Civil Eng.
2022-23 Surge</t>
  </si>
  <si>
    <t xml:space="preserve">TRP Net
Debt/EBITDA</t>
  </si>
  <si>
    <t xml:space="preserve">State Capex
Dependency</t>
  </si>
  <si>
    <t xml:space="preserve">6.0%</t>
  </si>
  <si>
    <t xml:space="preserve">−34%</t>
  </si>
  <si>
    <t xml:space="preserve">+62%</t>
  </si>
  <si>
    <t xml:space="preserve">4.7×</t>
  </si>
  <si>
    <t xml:space="preserve">&gt;65%</t>
  </si>
  <si>
    <t xml:space="preserve">Rate above which residential output contracts</t>
  </si>
  <si>
    <t xml:space="preserve">Full-year residential output YoY (INS confirmed)</t>
  </si>
  <si>
    <t xml:space="preserve">Steepest single-quarter residential output drop</t>
  </si>
  <si>
    <t xml:space="preserve">2-year cumulative state capex boost offsetting resi</t>
  </si>
  <si>
    <t xml:space="preserve">Leverage amplifies revenue shortfall from demand loss</t>
  </si>
  <si>
    <t xml:space="preserve">Estimated share of TRP revenue from public spending</t>
  </si>
  <si>
    <t xml:space="preserve">"High interest rates (ROBOR &gt; 6.0%) have slowed private residential demand, stripping TRP of its historical revenue diversification. At 4.7x Net Debt/EBITDA, the company is now effectively a highly leveraged proxy for a Romanian state capex budget facing mandatory austerity cuts."</t>
  </si>
  <si>
    <t xml:space="preserve">Sources: INS Romania (residential construction output via Romania Insider / FIEC statistical report), BNR (ROBOR 3M daily fixing). Quarterly data. 2025 estimates based on partial INS releases and ROBOR trajectory.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</si>
</sst>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+0.0%;\-0.0%;0.0%"/>
    <numFmt numFmtId="167" formatCode="0%"/>
    <numFmt numFmtId="168" formatCode="0.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44444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404040"/>
      <name val="Calibri"/>
      <family val="0"/>
      <charset val="1"/>
    </font>
    <font>
      <sz val="10"/>
      <color rgb="FF375623"/>
      <name val="Calibri"/>
      <family val="0"/>
      <charset val="1"/>
    </font>
    <font>
      <sz val="9"/>
      <color rgb="FFAAAAAA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sz val="9"/>
      <color rgb="FF2E5090"/>
      <name val="Calibri"/>
      <family val="0"/>
      <charset val="1"/>
    </font>
    <font>
      <i val="true"/>
      <sz val="8"/>
      <color rgb="FF666666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i val="true"/>
      <sz val="9"/>
      <color rgb="FFC00000"/>
      <name val="Calibri"/>
      <family val="0"/>
      <charset val="1"/>
    </font>
    <font>
      <sz val="10"/>
      <color rgb="FFC00000"/>
      <name val="Calibri"/>
      <family val="0"/>
      <charset val="1"/>
    </font>
    <font>
      <sz val="9"/>
      <color rgb="FF888888"/>
      <name val="Calibri"/>
      <family val="0"/>
      <charset val="1"/>
    </font>
    <font>
      <sz val="9"/>
      <color rgb="FFFFFFFF"/>
      <name val="Calibri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22"/>
      <color rgb="FFC00000"/>
      <name val="Calibri"/>
      <family val="0"/>
      <charset val="1"/>
    </font>
    <font>
      <b val="true"/>
      <sz val="22"/>
      <color rgb="FFC55A11"/>
      <name val="Calibri"/>
      <family val="0"/>
      <charset val="1"/>
    </font>
    <font>
      <i val="true"/>
      <sz val="8"/>
      <color rgb="FF555555"/>
      <name val="Calibri"/>
      <family val="0"/>
      <charset val="1"/>
    </font>
    <font>
      <b val="true"/>
      <i val="true"/>
      <sz val="12"/>
      <color rgb="FFFFFFFF"/>
      <name val="Calibri"/>
      <family val="0"/>
      <charset val="1"/>
    </font>
    <font>
      <i val="true"/>
      <sz val="8"/>
      <color rgb="FF80808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5F5F5"/>
        <bgColor rgb="FFFFFFFF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F5F5F5"/>
      </patternFill>
    </fill>
    <fill>
      <patternFill patternType="solid">
        <fgColor rgb="FFFFE0E0"/>
        <bgColor rgb="FFFFF2CC"/>
      </patternFill>
    </fill>
    <fill>
      <patternFill patternType="solid">
        <fgColor rgb="FFFFF2CC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7B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78787"/>
      <rgbColor rgb="FF800080"/>
      <rgbColor rgb="FF008080"/>
      <rgbColor rgb="FFCCCCCC"/>
      <rgbColor rgb="FF808080"/>
      <rgbColor rgb="FFAAAAAA"/>
      <rgbColor rgb="FF555555"/>
      <rgbColor rgb="FFFFF2CC"/>
      <rgbColor rgb="FFF5F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4472C4"/>
      <rgbColor rgb="FF33CCCC"/>
      <rgbColor rgb="FF99CC00"/>
      <rgbColor rgb="FFFFCC00"/>
      <rgbColor rgb="FFFF9900"/>
      <rgbColor rgb="FFC55A11"/>
      <rgbColor rgb="FF666666"/>
      <rgbColor rgb="FF888888"/>
      <rgbColor rgb="FF1F3864"/>
      <rgbColor rgb="FF339966"/>
      <rgbColor rgb="FF375623"/>
      <rgbColor rgb="FF444444"/>
      <rgbColor rgb="FF993300"/>
      <rgbColor rgb="FF993366"/>
      <rgbColor rgb="FF2E509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Chart!C4</c:f>
              <c:strCache>
                <c:ptCount val="1"/>
                <c:pt idx="0">
                  <c:v>Residential Construction
Output YoY (%)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2e509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Chart!$A$5:$A$20</c:f>
              <c:strCache>
                <c:ptCount val="1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</c:strCache>
            </c:strRef>
          </c:cat>
          <c:val>
            <c:numRef>
              <c:f>Chart!$C$5:$C$20</c:f>
              <c:numCache>
                <c:formatCode>\+0.0%;\-0.0%;0.0%</c:formatCode>
                <c:ptCount val="16"/>
                <c:pt idx="0">
                  <c:v>0.08</c:v>
                </c:pt>
                <c:pt idx="1">
                  <c:v>0.02</c:v>
                </c:pt>
                <c:pt idx="2">
                  <c:v>0.01</c:v>
                </c:pt>
                <c:pt idx="3">
                  <c:v>0.01</c:v>
                </c:pt>
                <c:pt idx="4">
                  <c:v>-0.02</c:v>
                </c:pt>
                <c:pt idx="5">
                  <c:v>-0.07</c:v>
                </c:pt>
                <c:pt idx="6">
                  <c:v>-0.09</c:v>
                </c:pt>
                <c:pt idx="7">
                  <c:v>-0.09</c:v>
                </c:pt>
                <c:pt idx="8">
                  <c:v>-0.34</c:v>
                </c:pt>
                <c:pt idx="9">
                  <c:v>-0.13</c:v>
                </c:pt>
                <c:pt idx="10">
                  <c:v>-0.275</c:v>
                </c:pt>
                <c:pt idx="11">
                  <c:v>-0.15</c:v>
                </c:pt>
                <c:pt idx="12">
                  <c:v>-0.05</c:v>
                </c:pt>
                <c:pt idx="13">
                  <c:v>-0.03</c:v>
                </c:pt>
                <c:pt idx="14">
                  <c:v>0.02</c:v>
                </c:pt>
                <c:pt idx="15">
                  <c:v>0.04</c:v>
                </c:pt>
              </c:numCache>
            </c:numRef>
          </c:val>
        </c:ser>
        <c:gapWidth val="150"/>
        <c:overlap val="0"/>
        <c:axId val="616170"/>
        <c:axId val="96167301"/>
      </c:barChart>
      <c:lineChart>
        <c:grouping val="standard"/>
        <c:varyColors val="0"/>
        <c:ser>
          <c:idx val="1"/>
          <c:order val="1"/>
          <c:tx>
            <c:strRef>
              <c:f>Chart!B4</c:f>
              <c:strCache>
                <c:ptCount val="1"/>
                <c:pt idx="0">
                  <c:v>ROBOR 3M
(%, avg)</c:v>
                </c:pt>
              </c:strCache>
            </c:strRef>
          </c:tx>
          <c:spPr>
            <a:solidFill>
              <a:srgbClr val="c55a11"/>
            </a:solidFill>
            <a:ln w="28080">
              <a:solidFill>
                <a:srgbClr val="c55a11"/>
              </a:solidFill>
              <a:round/>
            </a:ln>
          </c:spPr>
          <c:marker>
            <c:symbol val="circle"/>
            <c:size val="5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Chart!$A$5:$A$20</c:f>
              <c:strCache>
                <c:ptCount val="1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</c:strCache>
            </c:strRef>
          </c:cat>
          <c:val>
            <c:numRef>
              <c:f>Chart!$B$5:$B$20</c:f>
              <c:numCache>
                <c:formatCode>0.00</c:formatCode>
                <c:ptCount val="16"/>
                <c:pt idx="0">
                  <c:v>3.86</c:v>
                </c:pt>
                <c:pt idx="1">
                  <c:v>5.74</c:v>
                </c:pt>
                <c:pt idx="2">
                  <c:v>7.57</c:v>
                </c:pt>
                <c:pt idx="3">
                  <c:v>8.04</c:v>
                </c:pt>
                <c:pt idx="4">
                  <c:v>7.18</c:v>
                </c:pt>
                <c:pt idx="5">
                  <c:v>6.54</c:v>
                </c:pt>
                <c:pt idx="6">
                  <c:v>6.44</c:v>
                </c:pt>
                <c:pt idx="7">
                  <c:v>6.29</c:v>
                </c:pt>
                <c:pt idx="8">
                  <c:v>6.04</c:v>
                </c:pt>
                <c:pt idx="9">
                  <c:v>5.77</c:v>
                </c:pt>
                <c:pt idx="10">
                  <c:v>5.58</c:v>
                </c:pt>
                <c:pt idx="11">
                  <c:v>5.6</c:v>
                </c:pt>
                <c:pt idx="12">
                  <c:v>6.25</c:v>
                </c:pt>
                <c:pt idx="13">
                  <c:v>7.05</c:v>
                </c:pt>
                <c:pt idx="14">
                  <c:v>6.6</c:v>
                </c:pt>
                <c:pt idx="15">
                  <c:v>6.13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Chart!D4</c:f>
              <c:strCache>
                <c:ptCount val="1"/>
                <c:pt idx="0">
                  <c:v>ROBOR
Threshold 6%</c:v>
                </c:pt>
              </c:strCache>
            </c:strRef>
          </c:tx>
          <c:spPr>
            <a:solidFill>
              <a:srgbClr val="c00000"/>
            </a:solidFill>
            <a:ln w="1800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Chart!$A$5:$A$20</c:f>
              <c:strCache>
                <c:ptCount val="1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</c:strCache>
            </c:strRef>
          </c:cat>
          <c:val>
            <c:numRef>
              <c:f>Chart!$D$5:$D$20</c:f>
              <c:numCache>
                <c:formatCode>0.00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4703770"/>
        <c:axId val="5307923"/>
      </c:lineChart>
      <c:catAx>
        <c:axId val="6161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67301"/>
        <c:crosses val="autoZero"/>
        <c:auto val="1"/>
        <c:lblAlgn val="ctr"/>
        <c:lblOffset val="100"/>
        <c:noMultiLvlLbl val="0"/>
      </c:catAx>
      <c:valAx>
        <c:axId val="96167301"/>
        <c:scaling>
          <c:orientation val="minMax"/>
          <c:max val="0.15"/>
          <c:min val="-0.4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Residential Construction Output YoY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170"/>
        <c:crosses val="autoZero"/>
        <c:crossBetween val="between"/>
      </c:valAx>
      <c:catAx>
        <c:axId val="7470377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7923"/>
        <c:crosses val="autoZero"/>
        <c:auto val="1"/>
        <c:lblAlgn val="ctr"/>
        <c:lblOffset val="100"/>
        <c:noMultiLvlLbl val="0"/>
      </c:catAx>
      <c:valAx>
        <c:axId val="5307923"/>
        <c:scaling>
          <c:orientation val="minMax"/>
          <c:max val="12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ROBOR 3M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0377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Summary'!K4</c:f>
              <c:strCache>
                <c:ptCount val="1"/>
                <c:pt idx="0">
                  <c:v>Residential YoY (%)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2e509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Summary'!$I$5:$I$9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2025e</c:v>
                </c:pt>
              </c:strCache>
            </c:strRef>
          </c:cat>
          <c:val>
            <c:numRef>
              <c:f>'Executive Summary'!$K$5:$K$9</c:f>
              <c:numCache>
                <c:formatCode>General</c:formatCode>
                <c:ptCount val="5"/>
                <c:pt idx="0">
                  <c:v>0.12</c:v>
                </c:pt>
                <c:pt idx="1">
                  <c:v>0.03</c:v>
                </c:pt>
                <c:pt idx="2">
                  <c:v>-0.066</c:v>
                </c:pt>
                <c:pt idx="3">
                  <c:v>-0.22</c:v>
                </c:pt>
                <c:pt idx="4">
                  <c:v>-0.05</c:v>
                </c:pt>
              </c:numCache>
            </c:numRef>
          </c:val>
        </c:ser>
        <c:gapWidth val="150"/>
        <c:overlap val="0"/>
        <c:axId val="2961752"/>
        <c:axId val="66692011"/>
      </c:barChart>
      <c:lineChart>
        <c:grouping val="standard"/>
        <c:varyColors val="0"/>
        <c:ser>
          <c:idx val="1"/>
          <c:order val="1"/>
          <c:tx>
            <c:strRef>
              <c:f>'Executive Summary'!J4</c:f>
              <c:strCache>
                <c:ptCount val="1"/>
                <c:pt idx="0">
                  <c:v>ROBOR 3M (%)</c:v>
                </c:pt>
              </c:strCache>
            </c:strRef>
          </c:tx>
          <c:spPr>
            <a:solidFill>
              <a:srgbClr val="c55a11"/>
            </a:solidFill>
            <a:ln w="32040">
              <a:solidFill>
                <a:srgbClr val="c55a11"/>
              </a:solidFill>
              <a:round/>
            </a:ln>
          </c:spPr>
          <c:marker>
            <c:symbol val="diamond"/>
            <c:size val="7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Summary'!$I$5:$I$9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2025e</c:v>
                </c:pt>
              </c:strCache>
            </c:strRef>
          </c:cat>
          <c:val>
            <c:numRef>
              <c:f>'Executive Summary'!$J$5:$J$9</c:f>
              <c:numCache>
                <c:formatCode>General</c:formatCode>
                <c:ptCount val="5"/>
                <c:pt idx="0">
                  <c:v>1.8</c:v>
                </c:pt>
                <c:pt idx="1">
                  <c:v>5.5</c:v>
                </c:pt>
                <c:pt idx="2">
                  <c:v>6.7</c:v>
                </c:pt>
                <c:pt idx="3">
                  <c:v>5.8</c:v>
                </c:pt>
                <c:pt idx="4">
                  <c:v>6.2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'Executive Summary'!L4</c:f>
              <c:strCache>
                <c:ptCount val="1"/>
                <c:pt idx="0">
                  <c:v>Threshold 6%</c:v>
                </c:pt>
              </c:strCache>
            </c:strRef>
          </c:tx>
          <c:spPr>
            <a:solidFill>
              <a:srgbClr val="c00000"/>
            </a:solidFill>
            <a:ln w="1800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Summary'!$I$5:$I$9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2025e</c:v>
                </c:pt>
              </c:strCache>
            </c:strRef>
          </c:cat>
          <c:val>
            <c:numRef>
              <c:f>'Executive Summary'!$L$5:$L$9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1597813"/>
        <c:axId val="19914932"/>
      </c:lineChart>
      <c:catAx>
        <c:axId val="2961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92011"/>
        <c:crosses val="autoZero"/>
        <c:auto val="1"/>
        <c:lblAlgn val="ctr"/>
        <c:lblOffset val="100"/>
        <c:noMultiLvlLbl val="0"/>
      </c:catAx>
      <c:valAx>
        <c:axId val="66692011"/>
        <c:scaling>
          <c:orientation val="minMax"/>
          <c:max val="0.2"/>
          <c:min val="-0.3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Residential Output YoY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1752"/>
        <c:crosses val="autoZero"/>
        <c:crossBetween val="between"/>
      </c:valAx>
      <c:catAx>
        <c:axId val="41597813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14932"/>
        <c:crosses val="autoZero"/>
        <c:auto val="1"/>
        <c:lblAlgn val="ctr"/>
        <c:lblOffset val="100"/>
        <c:noMultiLvlLbl val="0"/>
      </c:catAx>
      <c:valAx>
        <c:axId val="19914932"/>
        <c:scaling>
          <c:orientation val="minMax"/>
          <c:max val="12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ROBOR 3M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97813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10</xdr:col>
      <xdr:colOff>83880</xdr:colOff>
      <xdr:row>54</xdr:row>
      <xdr:rowOff>23760</xdr:rowOff>
    </xdr:to>
    <xdr:graphicFrame>
      <xdr:nvGraphicFramePr>
        <xdr:cNvPr id="0" name="Chart 1"/>
        <xdr:cNvGraphicFramePr/>
      </xdr:nvGraphicFramePr>
      <xdr:xfrm>
        <a:off x="0" y="5276880"/>
        <a:ext cx="10799640" cy="61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581400</xdr:colOff>
      <xdr:row>17</xdr:row>
      <xdr:rowOff>86760</xdr:rowOff>
    </xdr:to>
    <xdr:graphicFrame>
      <xdr:nvGraphicFramePr>
        <xdr:cNvPr id="1" name="Chart 1"/>
        <xdr:cNvGraphicFramePr/>
      </xdr:nvGraphicFramePr>
      <xdr:xfrm>
        <a:off x="10149840" y="7048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7" min="6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8" hidden="false" customHeight="true" outlineLevel="0" collapsed="false">
      <c r="A5" s="4" t="s">
        <v>9</v>
      </c>
      <c r="B5" s="5" t="n">
        <v>3.86</v>
      </c>
      <c r="C5" s="6" t="n">
        <v>0.08</v>
      </c>
      <c r="D5" s="7" t="n">
        <v>6</v>
      </c>
      <c r="E5" s="8" t="s">
        <v>10</v>
      </c>
      <c r="F5" s="9" t="s">
        <v>11</v>
      </c>
      <c r="G5" s="10"/>
    </row>
    <row r="6" customFormat="false" ht="18" hidden="false" customHeight="true" outlineLevel="0" collapsed="false">
      <c r="A6" s="4" t="s">
        <v>12</v>
      </c>
      <c r="B6" s="5" t="n">
        <v>5.74</v>
      </c>
      <c r="C6" s="6" t="n">
        <v>0.02</v>
      </c>
      <c r="D6" s="7" t="n">
        <v>6</v>
      </c>
      <c r="E6" s="8" t="s">
        <v>13</v>
      </c>
      <c r="F6" s="9" t="s">
        <v>11</v>
      </c>
      <c r="G6" s="10" t="s">
        <v>14</v>
      </c>
    </row>
    <row r="7" customFormat="false" ht="18" hidden="false" customHeight="true" outlineLevel="0" collapsed="false">
      <c r="A7" s="11" t="s">
        <v>15</v>
      </c>
      <c r="B7" s="12" t="n">
        <v>7.57</v>
      </c>
      <c r="C7" s="13" t="n">
        <v>0.01</v>
      </c>
      <c r="D7" s="14" t="n">
        <v>6</v>
      </c>
      <c r="E7" s="15" t="s">
        <v>16</v>
      </c>
      <c r="F7" s="16" t="s">
        <v>11</v>
      </c>
      <c r="G7" s="17"/>
    </row>
    <row r="8" customFormat="false" ht="18" hidden="false" customHeight="true" outlineLevel="0" collapsed="false">
      <c r="A8" s="11" t="s">
        <v>17</v>
      </c>
      <c r="B8" s="12" t="n">
        <v>8.04</v>
      </c>
      <c r="C8" s="13" t="n">
        <v>0.01</v>
      </c>
      <c r="D8" s="14" t="n">
        <v>6</v>
      </c>
      <c r="E8" s="15" t="s">
        <v>16</v>
      </c>
      <c r="F8" s="16" t="s">
        <v>11</v>
      </c>
      <c r="G8" s="17"/>
    </row>
    <row r="9" customFormat="false" ht="18" hidden="false" customHeight="true" outlineLevel="0" collapsed="false">
      <c r="A9" s="11" t="s">
        <v>18</v>
      </c>
      <c r="B9" s="12" t="n">
        <v>7.18</v>
      </c>
      <c r="C9" s="18" t="n">
        <v>-0.02</v>
      </c>
      <c r="D9" s="14" t="n">
        <v>6</v>
      </c>
      <c r="E9" s="15" t="s">
        <v>16</v>
      </c>
      <c r="F9" s="16" t="s">
        <v>11</v>
      </c>
      <c r="G9" s="17"/>
    </row>
    <row r="10" customFormat="false" ht="18" hidden="false" customHeight="true" outlineLevel="0" collapsed="false">
      <c r="A10" s="11" t="s">
        <v>19</v>
      </c>
      <c r="B10" s="12" t="n">
        <v>6.54</v>
      </c>
      <c r="C10" s="18" t="n">
        <v>-0.07</v>
      </c>
      <c r="D10" s="14" t="n">
        <v>6</v>
      </c>
      <c r="E10" s="15" t="s">
        <v>16</v>
      </c>
      <c r="F10" s="16" t="s">
        <v>11</v>
      </c>
      <c r="G10" s="17"/>
    </row>
    <row r="11" customFormat="false" ht="18" hidden="false" customHeight="true" outlineLevel="0" collapsed="false">
      <c r="A11" s="11" t="s">
        <v>20</v>
      </c>
      <c r="B11" s="12" t="n">
        <v>6.44</v>
      </c>
      <c r="C11" s="18" t="n">
        <v>-0.09</v>
      </c>
      <c r="D11" s="14" t="n">
        <v>6</v>
      </c>
      <c r="E11" s="15" t="s">
        <v>16</v>
      </c>
      <c r="F11" s="16" t="s">
        <v>11</v>
      </c>
      <c r="G11" s="17"/>
    </row>
    <row r="12" customFormat="false" ht="18" hidden="false" customHeight="true" outlineLevel="0" collapsed="false">
      <c r="A12" s="11" t="s">
        <v>21</v>
      </c>
      <c r="B12" s="12" t="n">
        <v>6.29</v>
      </c>
      <c r="C12" s="18" t="n">
        <v>-0.09</v>
      </c>
      <c r="D12" s="14" t="n">
        <v>6</v>
      </c>
      <c r="E12" s="15" t="s">
        <v>16</v>
      </c>
      <c r="F12" s="16" t="s">
        <v>11</v>
      </c>
      <c r="G12" s="17"/>
    </row>
    <row r="13" customFormat="false" ht="18" hidden="false" customHeight="true" outlineLevel="0" collapsed="false">
      <c r="A13" s="11" t="s">
        <v>22</v>
      </c>
      <c r="B13" s="12" t="n">
        <v>6.04</v>
      </c>
      <c r="C13" s="19" t="n">
        <v>-0.34</v>
      </c>
      <c r="D13" s="14" t="n">
        <v>6</v>
      </c>
      <c r="E13" s="15" t="s">
        <v>16</v>
      </c>
      <c r="F13" s="16" t="s">
        <v>11</v>
      </c>
      <c r="G13" s="17" t="s">
        <v>23</v>
      </c>
    </row>
    <row r="14" customFormat="false" ht="18" hidden="false" customHeight="true" outlineLevel="0" collapsed="false">
      <c r="A14" s="20" t="s">
        <v>24</v>
      </c>
      <c r="B14" s="21" t="n">
        <v>5.77</v>
      </c>
      <c r="C14" s="22" t="n">
        <v>-0.13</v>
      </c>
      <c r="D14" s="23" t="n">
        <v>6</v>
      </c>
      <c r="E14" s="24" t="s">
        <v>13</v>
      </c>
      <c r="F14" s="25" t="s">
        <v>11</v>
      </c>
      <c r="G14" s="26"/>
    </row>
    <row r="15" customFormat="false" ht="18" hidden="false" customHeight="true" outlineLevel="0" collapsed="false">
      <c r="A15" s="20" t="s">
        <v>25</v>
      </c>
      <c r="B15" s="21" t="n">
        <v>5.58</v>
      </c>
      <c r="C15" s="22" t="n">
        <v>-0.275</v>
      </c>
      <c r="D15" s="23" t="n">
        <v>6</v>
      </c>
      <c r="E15" s="24" t="s">
        <v>13</v>
      </c>
      <c r="F15" s="25" t="s">
        <v>11</v>
      </c>
      <c r="G15" s="26" t="s">
        <v>26</v>
      </c>
    </row>
    <row r="16" customFormat="false" ht="18" hidden="false" customHeight="true" outlineLevel="0" collapsed="false">
      <c r="A16" s="20" t="s">
        <v>27</v>
      </c>
      <c r="B16" s="21" t="n">
        <v>5.6</v>
      </c>
      <c r="C16" s="22" t="n">
        <v>-0.15</v>
      </c>
      <c r="D16" s="23" t="n">
        <v>6</v>
      </c>
      <c r="E16" s="24" t="s">
        <v>13</v>
      </c>
      <c r="F16" s="25" t="s">
        <v>11</v>
      </c>
      <c r="G16" s="26"/>
    </row>
    <row r="17" customFormat="false" ht="18" hidden="false" customHeight="true" outlineLevel="0" collapsed="false">
      <c r="A17" s="11" t="s">
        <v>28</v>
      </c>
      <c r="B17" s="12" t="n">
        <v>6.25</v>
      </c>
      <c r="C17" s="18" t="n">
        <v>-0.05</v>
      </c>
      <c r="D17" s="14" t="n">
        <v>6</v>
      </c>
      <c r="E17" s="15" t="s">
        <v>16</v>
      </c>
      <c r="F17" s="27" t="s">
        <v>29</v>
      </c>
      <c r="G17" s="17"/>
    </row>
    <row r="18" customFormat="false" ht="18" hidden="false" customHeight="true" outlineLevel="0" collapsed="false">
      <c r="A18" s="11" t="s">
        <v>30</v>
      </c>
      <c r="B18" s="12" t="n">
        <v>7.05</v>
      </c>
      <c r="C18" s="18" t="n">
        <v>-0.03</v>
      </c>
      <c r="D18" s="14" t="n">
        <v>6</v>
      </c>
      <c r="E18" s="15" t="s">
        <v>16</v>
      </c>
      <c r="F18" s="27" t="s">
        <v>29</v>
      </c>
      <c r="G18" s="17"/>
    </row>
    <row r="19" customFormat="false" ht="18" hidden="false" customHeight="true" outlineLevel="0" collapsed="false">
      <c r="A19" s="11" t="s">
        <v>31</v>
      </c>
      <c r="B19" s="12" t="n">
        <v>6.6</v>
      </c>
      <c r="C19" s="13" t="n">
        <v>0.02</v>
      </c>
      <c r="D19" s="14" t="n">
        <v>6</v>
      </c>
      <c r="E19" s="15" t="s">
        <v>16</v>
      </c>
      <c r="F19" s="27" t="s">
        <v>29</v>
      </c>
      <c r="G19" s="17"/>
    </row>
    <row r="20" customFormat="false" ht="18" hidden="false" customHeight="true" outlineLevel="0" collapsed="false">
      <c r="A20" s="11" t="s">
        <v>32</v>
      </c>
      <c r="B20" s="12" t="n">
        <v>6.13</v>
      </c>
      <c r="C20" s="13" t="n">
        <v>0.04</v>
      </c>
      <c r="D20" s="14" t="n">
        <v>6</v>
      </c>
      <c r="E20" s="15" t="s">
        <v>16</v>
      </c>
      <c r="F20" s="27" t="s">
        <v>29</v>
      </c>
      <c r="G20" s="17"/>
    </row>
    <row r="55" customFormat="false" ht="21.75" hidden="false" customHeight="true" outlineLevel="0" collapsed="false">
      <c r="A55" s="28" t="s">
        <v>33</v>
      </c>
      <c r="B55" s="28"/>
      <c r="C55" s="28"/>
      <c r="D55" s="28"/>
      <c r="E55" s="28"/>
      <c r="F55" s="28"/>
      <c r="G55" s="28"/>
    </row>
    <row r="56" customFormat="false" ht="21.75" hidden="false" customHeight="true" outlineLevel="0" collapsed="false">
      <c r="A56" s="28"/>
      <c r="B56" s="28"/>
      <c r="C56" s="28"/>
      <c r="D56" s="28"/>
      <c r="E56" s="28"/>
      <c r="F56" s="28"/>
      <c r="G56" s="28"/>
    </row>
  </sheetData>
  <mergeCells count="3">
    <mergeCell ref="A1:G1"/>
    <mergeCell ref="A2:G2"/>
    <mergeCell ref="A55:G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20"/>
    <col collapsed="false" customWidth="true" hidden="false" outlineLevel="0" max="7" min="7" style="0" width="30"/>
  </cols>
  <sheetData>
    <row r="1" customFormat="false" ht="36" hidden="false" customHeight="true" outlineLevel="0" collapsed="false">
      <c r="A1" s="29" t="s">
        <v>34</v>
      </c>
      <c r="B1" s="29"/>
      <c r="C1" s="29"/>
      <c r="D1" s="29"/>
      <c r="E1" s="29"/>
      <c r="F1" s="29"/>
      <c r="G1" s="29"/>
    </row>
    <row r="2" customFormat="false" ht="19.5" hidden="false" customHeight="true" outlineLevel="0" collapsed="false">
      <c r="A2" s="30" t="s">
        <v>35</v>
      </c>
      <c r="B2" s="30"/>
      <c r="C2" s="30"/>
      <c r="D2" s="30"/>
      <c r="E2" s="30"/>
      <c r="F2" s="30"/>
      <c r="G2" s="30"/>
    </row>
    <row r="3" customFormat="false" ht="7.5" hidden="false" customHeight="true" outlineLevel="0" collapsed="false"/>
    <row r="4" customFormat="false" ht="30" hidden="false" customHeight="true" outlineLevel="0" collapsed="false">
      <c r="A4" s="31" t="s">
        <v>36</v>
      </c>
      <c r="B4" s="31" t="s">
        <v>37</v>
      </c>
      <c r="C4" s="31" t="s">
        <v>38</v>
      </c>
      <c r="D4" s="31" t="s">
        <v>39</v>
      </c>
      <c r="E4" s="31" t="s">
        <v>40</v>
      </c>
      <c r="F4" s="31" t="s">
        <v>41</v>
      </c>
      <c r="G4" s="31" t="s">
        <v>42</v>
      </c>
      <c r="I4" s="32" t="s">
        <v>36</v>
      </c>
      <c r="J4" s="32" t="s">
        <v>43</v>
      </c>
      <c r="K4" s="32" t="s">
        <v>44</v>
      </c>
      <c r="L4" s="32" t="s">
        <v>45</v>
      </c>
    </row>
    <row r="5" customFormat="false" ht="30" hidden="false" customHeight="true" outlineLevel="0" collapsed="false">
      <c r="A5" s="33" t="s">
        <v>46</v>
      </c>
      <c r="B5" s="34" t="s">
        <v>47</v>
      </c>
      <c r="C5" s="34" t="s">
        <v>48</v>
      </c>
      <c r="D5" s="34" t="s">
        <v>49</v>
      </c>
      <c r="E5" s="34" t="s">
        <v>48</v>
      </c>
      <c r="F5" s="34" t="s">
        <v>50</v>
      </c>
      <c r="G5" s="34" t="s">
        <v>51</v>
      </c>
      <c r="I5" s="35" t="s">
        <v>46</v>
      </c>
      <c r="J5" s="35" t="n">
        <v>1.8</v>
      </c>
      <c r="K5" s="35" t="n">
        <v>0.12</v>
      </c>
      <c r="L5" s="35" t="n">
        <v>6</v>
      </c>
    </row>
    <row r="6" customFormat="false" ht="30" hidden="false" customHeight="true" outlineLevel="0" collapsed="false">
      <c r="A6" s="36" t="s">
        <v>52</v>
      </c>
      <c r="B6" s="37" t="s">
        <v>53</v>
      </c>
      <c r="C6" s="37" t="s">
        <v>54</v>
      </c>
      <c r="D6" s="37" t="s">
        <v>55</v>
      </c>
      <c r="E6" s="37" t="s">
        <v>56</v>
      </c>
      <c r="F6" s="37" t="s">
        <v>57</v>
      </c>
      <c r="G6" s="37" t="s">
        <v>58</v>
      </c>
      <c r="I6" s="35" t="s">
        <v>52</v>
      </c>
      <c r="J6" s="35" t="n">
        <v>5.5</v>
      </c>
      <c r="K6" s="35" t="n">
        <v>0.03</v>
      </c>
      <c r="L6" s="35" t="n">
        <v>6</v>
      </c>
    </row>
    <row r="7" customFormat="false" ht="30" hidden="false" customHeight="true" outlineLevel="0" collapsed="false">
      <c r="A7" s="38" t="s">
        <v>59</v>
      </c>
      <c r="B7" s="39" t="s">
        <v>60</v>
      </c>
      <c r="C7" s="40" t="s">
        <v>61</v>
      </c>
      <c r="D7" s="39" t="s">
        <v>62</v>
      </c>
      <c r="E7" s="39" t="s">
        <v>63</v>
      </c>
      <c r="F7" s="40" t="s">
        <v>64</v>
      </c>
      <c r="G7" s="40" t="s">
        <v>65</v>
      </c>
      <c r="I7" s="35" t="s">
        <v>59</v>
      </c>
      <c r="J7" s="35" t="n">
        <v>6.7</v>
      </c>
      <c r="K7" s="35" t="n">
        <v>-0.066</v>
      </c>
      <c r="L7" s="35" t="n">
        <v>6</v>
      </c>
    </row>
    <row r="8" customFormat="false" ht="30" hidden="false" customHeight="true" outlineLevel="0" collapsed="false">
      <c r="A8" s="38" t="s">
        <v>66</v>
      </c>
      <c r="B8" s="39" t="s">
        <v>67</v>
      </c>
      <c r="C8" s="40" t="s">
        <v>68</v>
      </c>
      <c r="D8" s="39" t="s">
        <v>69</v>
      </c>
      <c r="E8" s="39" t="s">
        <v>70</v>
      </c>
      <c r="F8" s="40" t="s">
        <v>71</v>
      </c>
      <c r="G8" s="40" t="s">
        <v>72</v>
      </c>
      <c r="I8" s="35" t="s">
        <v>66</v>
      </c>
      <c r="J8" s="35" t="n">
        <v>5.8</v>
      </c>
      <c r="K8" s="35" t="n">
        <v>-0.22</v>
      </c>
      <c r="L8" s="35" t="n">
        <v>6</v>
      </c>
    </row>
    <row r="9" customFormat="false" ht="9.75" hidden="false" customHeight="true" outlineLevel="0" collapsed="false">
      <c r="A9" s="36" t="s">
        <v>73</v>
      </c>
      <c r="B9" s="37" t="s">
        <v>74</v>
      </c>
      <c r="C9" s="37" t="s">
        <v>75</v>
      </c>
      <c r="D9" s="37" t="s">
        <v>76</v>
      </c>
      <c r="E9" s="37" t="s">
        <v>69</v>
      </c>
      <c r="F9" s="37" t="s">
        <v>77</v>
      </c>
      <c r="G9" s="37" t="s">
        <v>78</v>
      </c>
      <c r="I9" s="35" t="s">
        <v>73</v>
      </c>
      <c r="J9" s="35" t="n">
        <v>6.2</v>
      </c>
      <c r="K9" s="35" t="n">
        <v>-0.05</v>
      </c>
      <c r="L9" s="35" t="n">
        <v>6</v>
      </c>
    </row>
    <row r="10" customFormat="false" ht="27.75" hidden="false" customHeight="true" outlineLevel="0" collapsed="false">
      <c r="A10" s="31" t="s">
        <v>79</v>
      </c>
      <c r="B10" s="31" t="s">
        <v>80</v>
      </c>
      <c r="C10" s="31" t="s">
        <v>81</v>
      </c>
      <c r="D10" s="31" t="s">
        <v>82</v>
      </c>
      <c r="E10" s="31" t="s">
        <v>83</v>
      </c>
      <c r="F10" s="31" t="s">
        <v>84</v>
      </c>
    </row>
    <row r="11" customFormat="false" ht="42" hidden="false" customHeight="true" outlineLevel="0" collapsed="false">
      <c r="A11" s="41" t="s">
        <v>85</v>
      </c>
      <c r="B11" s="41" t="s">
        <v>68</v>
      </c>
      <c r="C11" s="41" t="s">
        <v>86</v>
      </c>
      <c r="D11" s="42" t="s">
        <v>87</v>
      </c>
      <c r="E11" s="42" t="s">
        <v>88</v>
      </c>
      <c r="F11" s="42" t="s">
        <v>89</v>
      </c>
    </row>
    <row r="12" customFormat="false" ht="42" hidden="false" customHeight="true" outlineLevel="0" collapsed="false">
      <c r="A12" s="43" t="s">
        <v>90</v>
      </c>
      <c r="B12" s="43" t="s">
        <v>91</v>
      </c>
      <c r="C12" s="43" t="s">
        <v>92</v>
      </c>
      <c r="D12" s="43" t="s">
        <v>93</v>
      </c>
      <c r="E12" s="43" t="s">
        <v>94</v>
      </c>
      <c r="F12" s="43" t="s">
        <v>95</v>
      </c>
    </row>
    <row r="13" customFormat="false" ht="9.75" hidden="false" customHeight="true" outlineLevel="0" collapsed="false"/>
    <row r="14" customFormat="false" ht="27.75" hidden="false" customHeight="true" outlineLevel="0" collapsed="false">
      <c r="A14" s="44" t="s">
        <v>96</v>
      </c>
      <c r="B14" s="44"/>
      <c r="C14" s="44"/>
      <c r="D14" s="44"/>
      <c r="E14" s="44"/>
      <c r="F14" s="44"/>
      <c r="G14" s="44"/>
    </row>
    <row r="15" customFormat="false" ht="27.75" hidden="false" customHeight="true" outlineLevel="0" collapsed="false">
      <c r="A15" s="44"/>
      <c r="B15" s="44"/>
      <c r="C15" s="44"/>
      <c r="D15" s="44"/>
      <c r="E15" s="44"/>
      <c r="F15" s="44"/>
      <c r="G15" s="44"/>
    </row>
    <row r="16" customFormat="false" ht="27.75" hidden="false" customHeight="true" outlineLevel="0" collapsed="false">
      <c r="A16" s="44"/>
      <c r="B16" s="44"/>
      <c r="C16" s="44"/>
      <c r="D16" s="44"/>
      <c r="E16" s="44"/>
      <c r="F16" s="44"/>
      <c r="G16" s="44"/>
    </row>
    <row r="17" customFormat="false" ht="18" hidden="false" customHeight="true" outlineLevel="0" collapsed="false">
      <c r="A17" s="45" t="s">
        <v>97</v>
      </c>
      <c r="B17" s="45"/>
      <c r="C17" s="45"/>
      <c r="D17" s="45"/>
      <c r="E17" s="45"/>
      <c r="F17" s="45"/>
      <c r="G17" s="45"/>
    </row>
  </sheetData>
  <mergeCells count="4">
    <mergeCell ref="A1:G1"/>
    <mergeCell ref="A2:G2"/>
    <mergeCell ref="A14:G1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2026-02-26T12:38:14Z</dcterms:created>
  <dc:creator>openpyxl</dc:creator>
  <dc:description/>
  <dc:language>en-US</dc:language>
  <cp:lastModifiedBy/>
  <dcterms:modified xsi:type="dcterms:W3CDTF">2026-02-26T12:38:18Z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