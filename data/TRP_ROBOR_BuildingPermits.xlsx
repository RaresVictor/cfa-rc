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Chart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<sst xmlns="http://schemas.openxmlformats.org/spreadsheetml/2006/main" count="206" uniqueCount="144">
  <si>
    <t xml:space="preserve">Romania: ROBOR 3M vs. Residential Building Permits — Monthly Data (Jan 2021 – Dec 2025)</t>
  </si>
  <si>
    <t xml:space="preserve">Period</t>
  </si>
  <si>
    <t xml:space="preserve">ROBOR 3M (%)</t>
  </si>
  <si>
    <t xml:space="preserve">Building Permits (units)</t>
  </si>
  <si>
    <t xml:space="preserve">ROBOR &gt; 6% Threshold</t>
  </si>
  <si>
    <t xml:space="preserve">Source</t>
  </si>
  <si>
    <t xml:space="preserve">Ian 2021</t>
  </si>
  <si>
    <t xml:space="preserve">INS Romania / BNR / curs-valutar-bnr.ro</t>
  </si>
  <si>
    <t xml:space="preserve">Feb 2021</t>
  </si>
  <si>
    <t xml:space="preserve">Mar 2021</t>
  </si>
  <si>
    <t xml:space="preserve">Apr 2021</t>
  </si>
  <si>
    <t xml:space="preserve">Mai 2021</t>
  </si>
  <si>
    <t xml:space="preserve">Iun 2021</t>
  </si>
  <si>
    <t xml:space="preserve">Iul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</si>
  <si>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</si>
  <si>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</si>
  <si>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</si>
  <si>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</si>
  <si>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</si>
  <si>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Ian 2022</t>
  </si>
  <si>
    <t xml:space="preserve">Feb 2022</t>
  </si>
  <si>
    <t xml:space="preserve">Mar 2022</t>
  </si>
  <si>
    <t xml:space="preserve">Apr 2022</t>
  </si>
  <si>
    <t xml:space="preserve">Mai 2022</t>
  </si>
  <si>
    <t xml:space="preserve">Iun 2022</t>
  </si>
  <si>
    <t xml:space="preserve">Iul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</si>
  <si>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</si>
  <si>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</si>
  <si>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</si>
  <si>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</si>
  <si>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</si>
  <si>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Ian 2023</t>
  </si>
  <si>
    <t xml:space="preserve">Feb 2023</t>
  </si>
  <si>
    <t xml:space="preserve">Mar 2023</t>
  </si>
  <si>
    <t xml:space="preserve">Apr 2023</t>
  </si>
  <si>
    <t xml:space="preserve">Mai 2023</t>
  </si>
  <si>
    <t xml:space="preserve">Iun 2023</t>
  </si>
  <si>
    <t xml:space="preserve">Iul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</si>
  <si>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</si>
  <si>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</si>
  <si>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</si>
  <si>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</si>
  <si>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</si>
  <si>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Ian 2024</t>
  </si>
  <si>
    <t xml:space="preserve">Feb 2024</t>
  </si>
  <si>
    <t xml:space="preserve">Mar 2024</t>
  </si>
  <si>
    <t xml:space="preserve">Apr 2024</t>
  </si>
  <si>
    <t xml:space="preserve">Mai 2024</t>
  </si>
  <si>
    <t xml:space="preserve">Iun 2024</t>
  </si>
  <si>
    <t xml:space="preserve">Iul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</si>
  <si>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</si>
  <si>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</si>
  <si>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</si>
  <si>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</si>
  <si>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</si>
  <si>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Ian 2025</t>
  </si>
  <si>
    <t xml:space="preserve">Feb 2025</t>
  </si>
  <si>
    <t xml:space="preserve">Mar 2025</t>
  </si>
  <si>
    <t xml:space="preserve">Apr 2025</t>
  </si>
  <si>
    <t xml:space="preserve">Mai 2025</t>
  </si>
  <si>
    <t xml:space="preserve">Iun 2025</t>
  </si>
  <si>
    <t xml:space="preserve">Iul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</si>
  <si>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</si>
  <si>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</si>
  <si>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</si>
  <si>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</si>
  <si>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</si>
  <si>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Sources: BNR (ROBOR), INS Romania (Building Permits via tradingeconomics.com/romania/building-permits). 2021–2022 monthly BP estimated from annual totals using historical seasonality.</t>
  </si>
  <si>
    <t xml:space="preserve">Romania: Residential Demand Destruction Under High Interest Rates</t>
  </si>
  <si>
    <t xml:space="preserve">ROBOR 3M (%) vs. Residential Building Permits — Quarterly Averages, Q1 2021 – Q4 2025</t>
  </si>
  <si>
    <t xml:space="preserve">Quarter</t>
  </si>
  <si>
    <t xml:space="preserve">Avg Permits/Month (units)</t>
  </si>
  <si>
    <t xml:space="preserve">Threshold</t>
  </si>
  <si>
    <t xml:space="preserve">Q1 2021</t>
  </si>
  <si>
    <t xml:space="preserve">Q2 2021</t>
  </si>
  <si>
    <t xml:space="preserve">Q3 2021</t>
  </si>
  <si>
    <t xml:space="preserve">Q4 2021</t>
  </si>
  <si>
    <t xml:space="preserve">Q1 2022</t>
  </si>
  <si>
    <t xml:space="preserve">Q2 2022</t>
  </si>
  <si>
    <t xml:space="preserve">Q3 2022</t>
  </si>
  <si>
    <t xml:space="preserve">Q4 2022</t>
  </si>
  <si>
    <t xml:space="preserve">Q1 2023</t>
  </si>
  <si>
    <t xml:space="preserve">Q2 2023</t>
  </si>
  <si>
    <t xml:space="preserve">Q3 2023</t>
  </si>
  <si>
    <t xml:space="preserve">Q4 2023</t>
  </si>
  <si>
    <t xml:space="preserve">Q1 2024</t>
  </si>
  <si>
    <t xml:space="preserve">Q2 2024</t>
  </si>
  <si>
    <t xml:space="preserve">Q3 2024</t>
  </si>
  <si>
    <t xml:space="preserve">Q4 2024</t>
  </si>
  <si>
    <t xml:space="preserve">Q1 2025</t>
  </si>
  <si>
    <t xml:space="preserve">Q2 2025</t>
  </si>
  <si>
    <t xml:space="preserve">Q3 2025</t>
  </si>
  <si>
    <t xml:space="preserve">Q4 2025</t>
  </si>
  <si>
    <t xml:space="preserve">⚠  KEY THESIS: ROBOR &gt; 6.0% (Q3 2022 – Q2 2025) coincided with a sustained collapse in private residential demand (-20.6% in authorizations, 2022→2023). This strips TRP of its historical revenue diversification, leaving it a highly leveraged proxy for Romanian state capex at a time of mandated fiscal austerity. Net Debt/EBITDA: 4.7x.</t>
  </si>
  <si>
    <t xml:space="preserve">Sources: BNR (ROBOR 3M fixing), INS Romania via tradingeconomics.com/romania/building-permits. Quarterly averages of monthly data.</t>
  </si>
  <si>
    <t xml:space="preserve">TRP — Interest Rate Risk &amp; Demand Destruction</t>
  </si>
  <si>
    <t xml:space="preserve">Impact of ROBOR &gt; 6% on Romanian Residential Construction Activity</t>
  </si>
  <si>
    <t xml:space="preserve">ROBOR 3M (avg)</t>
  </si>
  <si>
    <t xml:space="preserve">Annual Permits</t>
  </si>
  <si>
    <t xml:space="preserve">YoY Change</t>
  </si>
  <si>
    <t xml:space="preserve">Regime</t>
  </si>
  <si>
    <t xml:space="preserve">Signal</t>
  </si>
  <si>
    <t xml:space="preserve">2021</t>
  </si>
  <si>
    <t xml:space="preserve">1.8%</t>
  </si>
  <si>
    <t xml:space="preserve">~43,200</t>
  </si>
  <si>
    <t xml:space="preserve">—</t>
  </si>
  <si>
    <t xml:space="preserve">Low rates</t>
  </si>
  <si>
    <t xml:space="preserve">✓ Normal demand</t>
  </si>
  <si>
    <t xml:space="preserve">2022</t>
  </si>
  <si>
    <t xml:space="preserve">5.5%</t>
  </si>
  <si>
    <t xml:space="preserve">43,676</t>
  </si>
  <si>
    <t xml:space="preserve">+1.1%</t>
  </si>
  <si>
    <t xml:space="preserve">Rising rates</t>
  </si>
  <si>
    <t xml:space="preserve">⚠ Peak &amp; turn</t>
  </si>
  <si>
    <t xml:space="preserve">2023</t>
  </si>
  <si>
    <t xml:space="preserve">6.7%</t>
  </si>
  <si>
    <t xml:space="preserve">34,646</t>
  </si>
  <si>
    <t xml:space="preserve">−20.6%</t>
  </si>
  <si>
    <t xml:space="preserve">HIGH RATES</t>
  </si>
  <si>
    <t xml:space="preserve">✗ Demand collapse</t>
  </si>
  <si>
    <t xml:space="preserve">2024</t>
  </si>
  <si>
    <t xml:space="preserve">5.8%</t>
  </si>
  <si>
    <t xml:space="preserve">35,667</t>
  </si>
  <si>
    <t xml:space="preserve">+2.9%</t>
  </si>
  <si>
    <t xml:space="preserve">Elevated</t>
  </si>
  <si>
    <t xml:space="preserve">⚠ Weak recovery</t>
  </si>
  <si>
    <t xml:space="preserve">2025 (Jan–Dec)</t>
  </si>
  <si>
    <t xml:space="preserve">6.2%</t>
  </si>
  <si>
    <t xml:space="preserve">~37,200e</t>
  </si>
  <si>
    <t xml:space="preserve">+4.3%e</t>
  </si>
  <si>
    <t xml:space="preserve">Still elevated</t>
  </si>
  <si>
    <t xml:space="preserve">⚠ Fragile</t>
  </si>
  <si>
    <t xml:space="preserve">ROBOR Threshold</t>
  </si>
  <si>
    <t xml:space="preserve">Peak-to-Trough (BP)</t>
  </si>
  <si>
    <t xml:space="preserve">TRP Leverage</t>
  </si>
  <si>
    <t xml:space="preserve">State Capex Risk</t>
  </si>
  <si>
    <t xml:space="preserve">6.0%</t>
  </si>
  <si>
    <t xml:space="preserve">4.7x</t>
  </si>
  <si>
    <t xml:space="preserve">Austerity</t>
  </si>
  <si>
    <t xml:space="preserve">Rate above which residential demand contracts materially</t>
  </si>
  <si>
    <t xml:space="preserve">Permits collapsed 2022→2023 under high-rate regime</t>
  </si>
  <si>
    <t xml:space="preserve">Net Debt/EBITDA — amplifies exposure to revenue shortfall</t>
  </si>
  <si>
    <t xml:space="preserve">EU fiscal rules force RO govt spending cuts in 2025–26</t>
  </si>
  <si>
    <t xml:space="preserve">"High interest rates (ROBOR &gt; 6.0%) have slowed private residential demand, stripping TRP of its historical revenue diversification. At 4.7x Net Debt/EBITDA, the company is now effectively a highly leveraged proxy for a Romanian state capex budget facing mandatory austerity cuts."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</si>
</sst>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\%"/>
    <numFmt numFmtId="166" formatCode="#,##0"/>
    <numFmt numFmtId="167" formatCode="0.00"/>
    <numFmt numFmtId="168" formatCode="0.0\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404040"/>
      <name val="Calibri"/>
      <family val="0"/>
      <charset val="1"/>
    </font>
    <font>
      <sz val="9"/>
      <color rgb="FFC00000"/>
      <name val="Calibri"/>
      <family val="0"/>
      <charset val="1"/>
    </font>
    <font>
      <i val="true"/>
      <sz val="8"/>
      <color rgb="FF80808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C00000"/>
      <name val="Calibri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Calibri"/>
      <family val="0"/>
      <charset val="1"/>
    </font>
    <font>
      <i val="true"/>
      <sz val="11"/>
      <color rgb="FF666666"/>
      <name val="Calibri"/>
      <family val="0"/>
      <charset val="1"/>
    </font>
    <font>
      <sz val="10"/>
      <color rgb="FF404040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8"/>
      <color rgb="FFC00000"/>
      <name val="Calibri"/>
      <family val="0"/>
      <charset val="1"/>
    </font>
    <font>
      <b val="true"/>
      <sz val="18"/>
      <color rgb="FFBF9000"/>
      <name val="Calibri"/>
      <family val="0"/>
      <charset val="1"/>
    </font>
    <font>
      <i val="true"/>
      <sz val="8"/>
      <color rgb="FF606060"/>
      <name val="Calibri"/>
      <family val="0"/>
      <charset val="1"/>
    </font>
    <font>
      <b val="true"/>
      <i val="true"/>
      <sz val="11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090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2F2F2"/>
      </patternFill>
    </fill>
    <fill>
      <patternFill patternType="solid">
        <fgColor rgb="FFFFE0E0"/>
        <bgColor rgb="FFFFF2CC"/>
      </patternFill>
    </fill>
    <fill>
      <patternFill patternType="solid">
        <fgColor rgb="FF7B0000"/>
        <bgColor rgb="FF660066"/>
      </patternFill>
    </fill>
    <fill>
      <patternFill patternType="solid">
        <fgColor rgb="FFEBF3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606060"/>
      <rgbColor rgb="FF800080"/>
      <rgbColor rgb="FF008080"/>
      <rgbColor rgb="FFCCCCCC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BF9000"/>
      <rgbColor rgb="FFC55A11"/>
      <rgbColor rgb="FF666666"/>
      <rgbColor rgb="FF878787"/>
      <rgbColor rgb="FF1F3864"/>
      <rgbColor rgb="FF339966"/>
      <rgbColor rgb="FF003300"/>
      <rgbColor rgb="FF333300"/>
      <rgbColor rgb="FF993300"/>
      <rgbColor rgb="FF993366"/>
      <rgbColor rgb="FF2E5090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Chart!C4</c:f>
              <c:strCache>
                <c:ptCount val="1"/>
                <c:pt idx="0">
                  <c:v>Avg Permits/Month (units)</c:v>
                </c:pt>
              </c:strCache>
            </c:strRef>
          </c:tx>
          <c:spPr>
            <a:solidFill>
              <a:srgbClr val="2e5090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Chart!$A$5:$A$24</c:f>
              <c:strCache>
                <c:ptCount val="20"/>
                <c:pt idx="0">
                  <c:v>Q1 2021</c:v>
                </c:pt>
                <c:pt idx="1">
                  <c:v>Q2 2021</c:v>
                </c:pt>
                <c:pt idx="2">
                  <c:v>Q3 2021</c:v>
                </c:pt>
                <c:pt idx="3">
                  <c:v>Q4 2021</c:v>
                </c:pt>
                <c:pt idx="4">
                  <c:v>Q1 2022</c:v>
                </c:pt>
                <c:pt idx="5">
                  <c:v>Q2 2022</c:v>
                </c:pt>
                <c:pt idx="6">
                  <c:v>Q3 2022</c:v>
                </c:pt>
                <c:pt idx="7">
                  <c:v>Q4 2022</c:v>
                </c:pt>
                <c:pt idx="8">
                  <c:v>Q1 2023</c:v>
                </c:pt>
                <c:pt idx="9">
                  <c:v>Q2 2023</c:v>
                </c:pt>
                <c:pt idx="10">
                  <c:v>Q3 2023</c:v>
                </c:pt>
                <c:pt idx="11">
                  <c:v>Q4 2023</c:v>
                </c:pt>
                <c:pt idx="12">
                  <c:v>Q1 2024</c:v>
                </c:pt>
                <c:pt idx="13">
                  <c:v>Q2 2024</c:v>
                </c:pt>
                <c:pt idx="14">
                  <c:v>Q3 2024</c:v>
                </c:pt>
                <c:pt idx="15">
                  <c:v>Q4 2024</c:v>
                </c:pt>
                <c:pt idx="16">
                  <c:v>Q1 2025</c:v>
                </c:pt>
                <c:pt idx="17">
                  <c:v>Q2 2025</c:v>
                </c:pt>
                <c:pt idx="18">
                  <c:v>Q3 2025</c:v>
                </c:pt>
                <c:pt idx="19">
                  <c:v>Q4 2025</c:v>
                </c:pt>
              </c:strCache>
            </c:strRef>
          </c:cat>
          <c:val>
            <c:numRef>
              <c:f>Chart!$C$5:$C$24</c:f>
              <c:numCache>
                <c:formatCode>#,##0</c:formatCode>
                <c:ptCount val="20"/>
                <c:pt idx="0">
                  <c:v>2393</c:v>
                </c:pt>
                <c:pt idx="1">
                  <c:v>3450</c:v>
                </c:pt>
                <c:pt idx="2">
                  <c:v>3200</c:v>
                </c:pt>
                <c:pt idx="3">
                  <c:v>2607</c:v>
                </c:pt>
                <c:pt idx="4">
                  <c:v>2603</c:v>
                </c:pt>
                <c:pt idx="5">
                  <c:v>3683</c:v>
                </c:pt>
                <c:pt idx="6">
                  <c:v>3483</c:v>
                </c:pt>
                <c:pt idx="7">
                  <c:v>2790</c:v>
                </c:pt>
                <c:pt idx="8">
                  <c:v>2499</c:v>
                </c:pt>
                <c:pt idx="9">
                  <c:v>3200</c:v>
                </c:pt>
                <c:pt idx="10">
                  <c:v>3133</c:v>
                </c:pt>
                <c:pt idx="11">
                  <c:v>2751</c:v>
                </c:pt>
                <c:pt idx="12">
                  <c:v>2433</c:v>
                </c:pt>
                <c:pt idx="13">
                  <c:v>3267</c:v>
                </c:pt>
                <c:pt idx="14">
                  <c:v>3300</c:v>
                </c:pt>
                <c:pt idx="15">
                  <c:v>2802</c:v>
                </c:pt>
                <c:pt idx="16">
                  <c:v>2700</c:v>
                </c:pt>
                <c:pt idx="17">
                  <c:v>3338</c:v>
                </c:pt>
                <c:pt idx="18">
                  <c:v>3335</c:v>
                </c:pt>
                <c:pt idx="19">
                  <c:v>2944</c:v>
                </c:pt>
              </c:numCache>
            </c:numRef>
          </c:val>
        </c:ser>
        <c:gapWidth val="150"/>
        <c:overlap val="0"/>
        <c:axId val="75366716"/>
        <c:axId val="65459317"/>
      </c:barChart>
      <c:lineChart>
        <c:grouping val="standard"/>
        <c:varyColors val="0"/>
        <c:ser>
          <c:idx val="1"/>
          <c:order val="1"/>
          <c:tx>
            <c:strRef>
              <c:f>Chart!B4</c:f>
              <c:strCache>
                <c:ptCount val="1"/>
                <c:pt idx="0">
                  <c:v>ROBOR 3M (%)</c:v>
                </c:pt>
              </c:strCache>
            </c:strRef>
          </c:tx>
          <c:spPr>
            <a:solidFill>
              <a:srgbClr val="c55a11"/>
            </a:solidFill>
            <a:ln w="28080">
              <a:solidFill>
                <a:srgbClr val="c55a11"/>
              </a:solidFill>
              <a:round/>
            </a:ln>
          </c:spPr>
          <c:marker>
            <c:symbol val="circle"/>
            <c:size val="5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Chart!$A$5:$A$24</c:f>
              <c:strCache>
                <c:ptCount val="20"/>
                <c:pt idx="0">
                  <c:v>Q1 2021</c:v>
                </c:pt>
                <c:pt idx="1">
                  <c:v>Q2 2021</c:v>
                </c:pt>
                <c:pt idx="2">
                  <c:v>Q3 2021</c:v>
                </c:pt>
                <c:pt idx="3">
                  <c:v>Q4 2021</c:v>
                </c:pt>
                <c:pt idx="4">
                  <c:v>Q1 2022</c:v>
                </c:pt>
                <c:pt idx="5">
                  <c:v>Q2 2022</c:v>
                </c:pt>
                <c:pt idx="6">
                  <c:v>Q3 2022</c:v>
                </c:pt>
                <c:pt idx="7">
                  <c:v>Q4 2022</c:v>
                </c:pt>
                <c:pt idx="8">
                  <c:v>Q1 2023</c:v>
                </c:pt>
                <c:pt idx="9">
                  <c:v>Q2 2023</c:v>
                </c:pt>
                <c:pt idx="10">
                  <c:v>Q3 2023</c:v>
                </c:pt>
                <c:pt idx="11">
                  <c:v>Q4 2023</c:v>
                </c:pt>
                <c:pt idx="12">
                  <c:v>Q1 2024</c:v>
                </c:pt>
                <c:pt idx="13">
                  <c:v>Q2 2024</c:v>
                </c:pt>
                <c:pt idx="14">
                  <c:v>Q3 2024</c:v>
                </c:pt>
                <c:pt idx="15">
                  <c:v>Q4 2024</c:v>
                </c:pt>
                <c:pt idx="16">
                  <c:v>Q1 2025</c:v>
                </c:pt>
                <c:pt idx="17">
                  <c:v>Q2 2025</c:v>
                </c:pt>
                <c:pt idx="18">
                  <c:v>Q3 2025</c:v>
                </c:pt>
                <c:pt idx="19">
                  <c:v>Q4 2025</c:v>
                </c:pt>
              </c:strCache>
            </c:strRef>
          </c:cat>
          <c:val>
            <c:numRef>
              <c:f>Chart!$B$5:$B$24</c:f>
              <c:numCache>
                <c:formatCode>0.00</c:formatCode>
                <c:ptCount val="20"/>
                <c:pt idx="0">
                  <c:v>1.65</c:v>
                </c:pt>
                <c:pt idx="1">
                  <c:v>1.55</c:v>
                </c:pt>
                <c:pt idx="2">
                  <c:v>1.36</c:v>
                </c:pt>
                <c:pt idx="3">
                  <c:v>2.5</c:v>
                </c:pt>
                <c:pt idx="4">
                  <c:v>3.86</c:v>
                </c:pt>
                <c:pt idx="5">
                  <c:v>5.74</c:v>
                </c:pt>
                <c:pt idx="6">
                  <c:v>7.57</c:v>
                </c:pt>
                <c:pt idx="7">
                  <c:v>8.04</c:v>
                </c:pt>
                <c:pt idx="8">
                  <c:v>7.18</c:v>
                </c:pt>
                <c:pt idx="9">
                  <c:v>6.59</c:v>
                </c:pt>
                <c:pt idx="10">
                  <c:v>6.44</c:v>
                </c:pt>
                <c:pt idx="11">
                  <c:v>6.29</c:v>
                </c:pt>
                <c:pt idx="12">
                  <c:v>6.11</c:v>
                </c:pt>
                <c:pt idx="13">
                  <c:v>5.82</c:v>
                </c:pt>
                <c:pt idx="14">
                  <c:v>5.6</c:v>
                </c:pt>
                <c:pt idx="15">
                  <c:v>5.58</c:v>
                </c:pt>
                <c:pt idx="16">
                  <c:v>5.92</c:v>
                </c:pt>
                <c:pt idx="17">
                  <c:v>6.71</c:v>
                </c:pt>
                <c:pt idx="18">
                  <c:v>6.62</c:v>
                </c:pt>
                <c:pt idx="19">
                  <c:v>6.28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Chart!D4</c:f>
              <c:strCache>
                <c:ptCount val="1"/>
                <c:pt idx="0">
                  <c:v>Threshold</c:v>
                </c:pt>
              </c:strCache>
            </c:strRef>
          </c:tx>
          <c:spPr>
            <a:solidFill>
              <a:srgbClr val="ff0000"/>
            </a:solidFill>
            <a:ln w="1584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Chart!$A$5:$A$24</c:f>
              <c:strCache>
                <c:ptCount val="20"/>
                <c:pt idx="0">
                  <c:v>Q1 2021</c:v>
                </c:pt>
                <c:pt idx="1">
                  <c:v>Q2 2021</c:v>
                </c:pt>
                <c:pt idx="2">
                  <c:v>Q3 2021</c:v>
                </c:pt>
                <c:pt idx="3">
                  <c:v>Q4 2021</c:v>
                </c:pt>
                <c:pt idx="4">
                  <c:v>Q1 2022</c:v>
                </c:pt>
                <c:pt idx="5">
                  <c:v>Q2 2022</c:v>
                </c:pt>
                <c:pt idx="6">
                  <c:v>Q3 2022</c:v>
                </c:pt>
                <c:pt idx="7">
                  <c:v>Q4 2022</c:v>
                </c:pt>
                <c:pt idx="8">
                  <c:v>Q1 2023</c:v>
                </c:pt>
                <c:pt idx="9">
                  <c:v>Q2 2023</c:v>
                </c:pt>
                <c:pt idx="10">
                  <c:v>Q3 2023</c:v>
                </c:pt>
                <c:pt idx="11">
                  <c:v>Q4 2023</c:v>
                </c:pt>
                <c:pt idx="12">
                  <c:v>Q1 2024</c:v>
                </c:pt>
                <c:pt idx="13">
                  <c:v>Q2 2024</c:v>
                </c:pt>
                <c:pt idx="14">
                  <c:v>Q3 2024</c:v>
                </c:pt>
                <c:pt idx="15">
                  <c:v>Q4 2024</c:v>
                </c:pt>
                <c:pt idx="16">
                  <c:v>Q1 2025</c:v>
                </c:pt>
                <c:pt idx="17">
                  <c:v>Q2 2025</c:v>
                </c:pt>
                <c:pt idx="18">
                  <c:v>Q3 2025</c:v>
                </c:pt>
                <c:pt idx="19">
                  <c:v>Q4 2025</c:v>
                </c:pt>
              </c:strCache>
            </c:strRef>
          </c:cat>
          <c:val>
            <c:numRef>
              <c:f>Chart!$D$5:$D$24</c:f>
              <c:numCache>
                <c:formatCode>0.00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3166707"/>
        <c:axId val="35282951"/>
      </c:lineChart>
      <c:catAx>
        <c:axId val="753667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59317"/>
        <c:crosses val="autoZero"/>
        <c:auto val="1"/>
        <c:lblAlgn val="ctr"/>
        <c:lblOffset val="100"/>
        <c:noMultiLvlLbl val="0"/>
      </c:catAx>
      <c:valAx>
        <c:axId val="65459317"/>
        <c:scaling>
          <c:orientation val="minMax"/>
          <c:max val="450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Avg. Monthly Building Permits (units)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66716"/>
        <c:crosses val="autoZero"/>
        <c:crossBetween val="between"/>
      </c:valAx>
      <c:catAx>
        <c:axId val="33166707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82951"/>
        <c:crosses val="autoZero"/>
        <c:auto val="1"/>
        <c:lblAlgn val="ctr"/>
        <c:lblOffset val="100"/>
        <c:noMultiLvlLbl val="0"/>
      </c:catAx>
      <c:valAx>
        <c:axId val="35282951"/>
        <c:scaling>
          <c:orientation val="minMax"/>
          <c:max val="11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ROBOR 3M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66707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12</xdr:col>
      <xdr:colOff>34560</xdr:colOff>
      <xdr:row>56</xdr:row>
      <xdr:rowOff>44640</xdr:rowOff>
    </xdr:to>
    <xdr:graphicFrame>
      <xdr:nvGraphicFramePr>
        <xdr:cNvPr id="0" name="Chart 1"/>
        <xdr:cNvGraphicFramePr/>
      </xdr:nvGraphicFramePr>
      <xdr:xfrm>
        <a:off x="0" y="5343480"/>
        <a:ext cx="971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22"/>
    <col collapsed="false" customWidth="true" hidden="false" outlineLevel="0" max="5" min="5" style="0" width="3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4" t="n">
        <v>1.62</v>
      </c>
      <c r="C3" s="5" t="n">
        <v>2200</v>
      </c>
      <c r="D3" s="6" t="str">
        <f aca="false">IF(B3&gt;6,"HIGH","normal")</f>
        <v>normal</v>
      </c>
      <c r="E3" s="6" t="s">
        <v>7</v>
      </c>
    </row>
    <row r="4" customFormat="false" ht="15" hidden="false" customHeight="false" outlineLevel="0" collapsed="false">
      <c r="A4" s="7" t="s">
        <v>8</v>
      </c>
      <c r="B4" s="8" t="n">
        <v>1.62</v>
      </c>
      <c r="C4" s="9" t="n">
        <v>2280</v>
      </c>
      <c r="D4" s="10" t="str">
        <f aca="false">IF(B4&gt;6,"HIGH","normal")</f>
        <v>normal</v>
      </c>
      <c r="E4" s="10" t="s">
        <v>7</v>
      </c>
    </row>
    <row r="5" customFormat="false" ht="15" hidden="false" customHeight="false" outlineLevel="0" collapsed="false">
      <c r="A5" s="3" t="s">
        <v>9</v>
      </c>
      <c r="B5" s="4" t="n">
        <v>1.7</v>
      </c>
      <c r="C5" s="5" t="n">
        <v>2700</v>
      </c>
      <c r="D5" s="6" t="str">
        <f aca="false">IF(B5&gt;6,"HIGH","normal")</f>
        <v>normal</v>
      </c>
      <c r="E5" s="6" t="s">
        <v>7</v>
      </c>
    </row>
    <row r="6" customFormat="false" ht="15" hidden="false" customHeight="false" outlineLevel="0" collapsed="false">
      <c r="A6" s="7" t="s">
        <v>10</v>
      </c>
      <c r="B6" s="8" t="n">
        <v>1.6</v>
      </c>
      <c r="C6" s="9" t="n">
        <v>3100</v>
      </c>
      <c r="D6" s="10" t="str">
        <f aca="false">IF(B6&gt;6,"HIGH","normal")</f>
        <v>normal</v>
      </c>
      <c r="E6" s="10" t="s">
        <v>7</v>
      </c>
    </row>
    <row r="7" customFormat="false" ht="15" hidden="false" customHeight="false" outlineLevel="0" collapsed="false">
      <c r="A7" s="3" t="s">
        <v>11</v>
      </c>
      <c r="B7" s="4" t="n">
        <v>1.55</v>
      </c>
      <c r="C7" s="5" t="n">
        <v>3600</v>
      </c>
      <c r="D7" s="6" t="str">
        <f aca="false">IF(B7&gt;6,"HIGH","normal")</f>
        <v>normal</v>
      </c>
      <c r="E7" s="6" t="s">
        <v>7</v>
      </c>
    </row>
    <row r="8" customFormat="false" ht="15" hidden="false" customHeight="false" outlineLevel="0" collapsed="false">
      <c r="A8" s="7" t="s">
        <v>12</v>
      </c>
      <c r="B8" s="8" t="n">
        <v>1.49</v>
      </c>
      <c r="C8" s="9" t="n">
        <v>3650</v>
      </c>
      <c r="D8" s="10" t="str">
        <f aca="false">IF(B8&gt;6,"HIGH","normal")</f>
        <v>normal</v>
      </c>
      <c r="E8" s="10" t="s">
        <v>7</v>
      </c>
    </row>
    <row r="9" customFormat="false" ht="15" hidden="false" customHeight="false" outlineLevel="0" collapsed="false">
      <c r="A9" s="3" t="s">
        <v>13</v>
      </c>
      <c r="B9" s="4" t="n">
        <v>1.17</v>
      </c>
      <c r="C9" s="5" t="n">
        <v>3450</v>
      </c>
      <c r="D9" s="6" t="str">
        <f aca="false">IF(B9&gt;6,"HIGH","normal")</f>
        <v>normal</v>
      </c>
      <c r="E9" s="6" t="s">
        <v>7</v>
      </c>
    </row>
    <row r="10" customFormat="false" ht="15" hidden="false" customHeight="false" outlineLevel="0" collapsed="false">
      <c r="A10" s="7" t="s">
        <v>14</v>
      </c>
      <c r="B10" s="8" t="n">
        <v>1.3</v>
      </c>
      <c r="C10" s="9" t="n">
        <v>3300</v>
      </c>
      <c r="D10" s="10" t="str">
        <f aca="false">IF(B10&gt;6,"HIGH","normal")</f>
        <v>normal</v>
      </c>
      <c r="E10" s="10" t="s">
        <v>7</v>
      </c>
    </row>
    <row r="11" customFormat="false" ht="15" hidden="false" customHeight="false" outlineLevel="0" collapsed="false">
      <c r="A11" s="3" t="s">
        <v>15</v>
      </c>
      <c r="B11" s="4" t="n">
        <v>1.61</v>
      </c>
      <c r="C11" s="5" t="n">
        <v>2850</v>
      </c>
      <c r="D11" s="6" t="str">
        <f aca="false">IF(B11&gt;6,"HIGH","normal")</f>
        <v>normal</v>
      </c>
      <c r="E11" s="6" t="s">
        <v>7</v>
      </c>
    </row>
    <row r="12" customFormat="false" ht="15" hidden="false" customHeight="false" outlineLevel="0" collapsed="false">
      <c r="A12" s="7" t="s">
        <v>16</v>
      </c>
      <c r="B12" s="8" t="n">
        <v>2.05</v>
      </c>
      <c r="C12" s="9" t="n">
        <v>2880</v>
      </c>
      <c r="D12" s="10" t="str">
        <f aca="false">IF(B12&gt;6,"HIGH","normal")</f>
        <v>normal</v>
      </c>
      <c r="E12" s="10" t="s">
        <v>7</v>
      </c>
    </row>
    <row r="13" customFormat="false" ht="15" hidden="false" customHeight="false" outlineLevel="0" collapsed="false">
      <c r="A13" s="3" t="s">
        <v>17</v>
      </c>
      <c r="B13" s="4" t="n">
        <v>2.55</v>
      </c>
      <c r="C13" s="5" t="n">
        <v>2550</v>
      </c>
      <c r="D13" s="6" t="str">
        <f aca="false">IF(B13&gt;6,"HIGH","normal")</f>
        <v>normal</v>
      </c>
      <c r="E13" s="6" t="s">
        <v>7</v>
      </c>
    </row>
    <row r="14" customFormat="false" ht="15" hidden="false" customHeight="false" outlineLevel="0" collapsed="false">
      <c r="A14" s="7" t="s">
        <v>18</v>
      </c>
      <c r="B14" s="8" t="n">
        <v>2.89</v>
      </c>
      <c r="C14" s="9" t="n">
        <v>2390</v>
      </c>
      <c r="D14" s="10" t="str">
        <f aca="false">IF(B14&gt;6,"HIGH","normal")</f>
        <v>normal</v>
      </c>
      <c r="E14" s="10" t="s">
        <v>7</v>
      </c>
    </row>
    <row r="15" customFormat="false" ht="15" hidden="false" customHeight="false" outlineLevel="0" collapsed="false">
      <c r="A15" s="3" t="s">
        <v>19</v>
      </c>
      <c r="B15" s="4" t="n">
        <v>3.3</v>
      </c>
      <c r="C15" s="5" t="n">
        <v>2380</v>
      </c>
      <c r="D15" s="6" t="str">
        <f aca="false">IF(B15&gt;6,"HIGH","normal")</f>
        <v>normal</v>
      </c>
      <c r="E15" s="6" t="s">
        <v>7</v>
      </c>
    </row>
    <row r="16" customFormat="false" ht="15" hidden="false" customHeight="false" outlineLevel="0" collapsed="false">
      <c r="A16" s="7" t="s">
        <v>20</v>
      </c>
      <c r="B16" s="8" t="n">
        <v>3.8</v>
      </c>
      <c r="C16" s="9" t="n">
        <v>2450</v>
      </c>
      <c r="D16" s="10" t="str">
        <f aca="false">IF(B16&gt;6,"HIGH","normal")</f>
        <v>normal</v>
      </c>
      <c r="E16" s="10" t="s">
        <v>7</v>
      </c>
    </row>
    <row r="17" customFormat="false" ht="15" hidden="false" customHeight="false" outlineLevel="0" collapsed="false">
      <c r="A17" s="3" t="s">
        <v>21</v>
      </c>
      <c r="B17" s="4" t="n">
        <v>4.49</v>
      </c>
      <c r="C17" s="5" t="n">
        <v>2980</v>
      </c>
      <c r="D17" s="6" t="str">
        <f aca="false">IF(B17&gt;6,"HIGH","normal")</f>
        <v>normal</v>
      </c>
      <c r="E17" s="6" t="s">
        <v>7</v>
      </c>
    </row>
    <row r="18" customFormat="false" ht="15" hidden="false" customHeight="false" outlineLevel="0" collapsed="false">
      <c r="A18" s="7" t="s">
        <v>22</v>
      </c>
      <c r="B18" s="8" t="n">
        <v>5.2</v>
      </c>
      <c r="C18" s="9" t="n">
        <v>3350</v>
      </c>
      <c r="D18" s="10" t="str">
        <f aca="false">IF(B18&gt;6,"HIGH","normal")</f>
        <v>normal</v>
      </c>
      <c r="E18" s="10" t="s">
        <v>7</v>
      </c>
    </row>
    <row r="19" customFormat="false" ht="15" hidden="false" customHeight="false" outlineLevel="0" collapsed="false">
      <c r="A19" s="3" t="s">
        <v>23</v>
      </c>
      <c r="B19" s="4" t="n">
        <v>5.85</v>
      </c>
      <c r="C19" s="5" t="n">
        <v>3800</v>
      </c>
      <c r="D19" s="6" t="str">
        <f aca="false">IF(B19&gt;6,"HIGH","normal")</f>
        <v>normal</v>
      </c>
      <c r="E19" s="6" t="s">
        <v>7</v>
      </c>
    </row>
    <row r="20" customFormat="false" ht="15" hidden="false" customHeight="false" outlineLevel="0" collapsed="false">
      <c r="A20" s="11" t="s">
        <v>24</v>
      </c>
      <c r="B20" s="12" t="n">
        <v>6.18</v>
      </c>
      <c r="C20" s="13" t="n">
        <v>3900</v>
      </c>
      <c r="D20" s="14" t="str">
        <f aca="false">IF(B20&gt;6,"HIGH","normal")</f>
        <v>HIGH</v>
      </c>
      <c r="E20" s="14" t="s">
        <v>7</v>
      </c>
    </row>
    <row r="21" customFormat="false" ht="15" hidden="false" customHeight="false" outlineLevel="0" collapsed="false">
      <c r="A21" s="11" t="s">
        <v>25</v>
      </c>
      <c r="B21" s="12" t="n">
        <v>7.2</v>
      </c>
      <c r="C21" s="13" t="n">
        <v>3750</v>
      </c>
      <c r="D21" s="14" t="str">
        <f aca="false">IF(B21&gt;6,"HIGH","normal")</f>
        <v>HIGH</v>
      </c>
      <c r="E21" s="14" t="s">
        <v>7</v>
      </c>
    </row>
    <row r="22" customFormat="false" ht="15" hidden="false" customHeight="false" outlineLevel="0" collapsed="false">
      <c r="A22" s="11" t="s">
        <v>26</v>
      </c>
      <c r="B22" s="12" t="n">
        <v>7.6</v>
      </c>
      <c r="C22" s="13" t="n">
        <v>3600</v>
      </c>
      <c r="D22" s="14" t="str">
        <f aca="false">IF(B22&gt;6,"HIGH","normal")</f>
        <v>HIGH</v>
      </c>
      <c r="E22" s="14" t="s">
        <v>7</v>
      </c>
    </row>
    <row r="23" customFormat="false" ht="15" hidden="false" customHeight="false" outlineLevel="0" collapsed="false">
      <c r="A23" s="11" t="s">
        <v>27</v>
      </c>
      <c r="B23" s="12" t="n">
        <v>7.91</v>
      </c>
      <c r="C23" s="13" t="n">
        <v>3100</v>
      </c>
      <c r="D23" s="14" t="str">
        <f aca="false">IF(B23&gt;6,"HIGH","normal")</f>
        <v>HIGH</v>
      </c>
      <c r="E23" s="14" t="s">
        <v>7</v>
      </c>
    </row>
    <row r="24" customFormat="false" ht="15" hidden="false" customHeight="false" outlineLevel="0" collapsed="false">
      <c r="A24" s="11" t="s">
        <v>28</v>
      </c>
      <c r="B24" s="12" t="n">
        <v>8.1</v>
      </c>
      <c r="C24" s="13" t="n">
        <v>3200</v>
      </c>
      <c r="D24" s="14" t="str">
        <f aca="false">IF(B24&gt;6,"HIGH","normal")</f>
        <v>HIGH</v>
      </c>
      <c r="E24" s="14" t="s">
        <v>7</v>
      </c>
    </row>
    <row r="25" customFormat="false" ht="15" hidden="false" customHeight="false" outlineLevel="0" collapsed="false">
      <c r="A25" s="11" t="s">
        <v>29</v>
      </c>
      <c r="B25" s="12" t="n">
        <v>8.4</v>
      </c>
      <c r="C25" s="13" t="n">
        <v>2800</v>
      </c>
      <c r="D25" s="14" t="str">
        <f aca="false">IF(B25&gt;6,"HIGH","normal")</f>
        <v>HIGH</v>
      </c>
      <c r="E25" s="14" t="s">
        <v>7</v>
      </c>
    </row>
    <row r="26" customFormat="false" ht="15" hidden="false" customHeight="false" outlineLevel="0" collapsed="false">
      <c r="A26" s="11" t="s">
        <v>30</v>
      </c>
      <c r="B26" s="12" t="n">
        <v>7.63</v>
      </c>
      <c r="C26" s="13" t="n">
        <v>2370</v>
      </c>
      <c r="D26" s="14" t="str">
        <f aca="false">IF(B26&gt;6,"HIGH","normal")</f>
        <v>HIGH</v>
      </c>
      <c r="E26" s="14" t="s">
        <v>7</v>
      </c>
    </row>
    <row r="27" customFormat="false" ht="15" hidden="false" customHeight="false" outlineLevel="0" collapsed="false">
      <c r="A27" s="11" t="s">
        <v>31</v>
      </c>
      <c r="B27" s="12" t="n">
        <v>7.5</v>
      </c>
      <c r="C27" s="13" t="n">
        <v>2050</v>
      </c>
      <c r="D27" s="14" t="str">
        <f aca="false">IF(B27&gt;6,"HIGH","normal")</f>
        <v>HIGH</v>
      </c>
      <c r="E27" s="14" t="s">
        <v>7</v>
      </c>
    </row>
    <row r="28" customFormat="false" ht="15" hidden="false" customHeight="false" outlineLevel="0" collapsed="false">
      <c r="A28" s="11" t="s">
        <v>32</v>
      </c>
      <c r="B28" s="12" t="n">
        <v>7.2</v>
      </c>
      <c r="C28" s="13" t="n">
        <v>2100</v>
      </c>
      <c r="D28" s="14" t="str">
        <f aca="false">IF(B28&gt;6,"HIGH","normal")</f>
        <v>HIGH</v>
      </c>
      <c r="E28" s="14" t="s">
        <v>7</v>
      </c>
    </row>
    <row r="29" customFormat="false" ht="15" hidden="false" customHeight="false" outlineLevel="0" collapsed="false">
      <c r="A29" s="11" t="s">
        <v>33</v>
      </c>
      <c r="B29" s="12" t="n">
        <v>6.85</v>
      </c>
      <c r="C29" s="13" t="n">
        <v>3346</v>
      </c>
      <c r="D29" s="14" t="str">
        <f aca="false">IF(B29&gt;6,"HIGH","normal")</f>
        <v>HIGH</v>
      </c>
      <c r="E29" s="14" t="s">
        <v>7</v>
      </c>
    </row>
    <row r="30" customFormat="false" ht="15" hidden="false" customHeight="false" outlineLevel="0" collapsed="false">
      <c r="A30" s="11" t="s">
        <v>34</v>
      </c>
      <c r="B30" s="12" t="n">
        <v>6.65</v>
      </c>
      <c r="C30" s="13" t="n">
        <v>2900</v>
      </c>
      <c r="D30" s="14" t="str">
        <f aca="false">IF(B30&gt;6,"HIGH","normal")</f>
        <v>HIGH</v>
      </c>
      <c r="E30" s="14" t="s">
        <v>7</v>
      </c>
    </row>
    <row r="31" customFormat="false" ht="15" hidden="false" customHeight="false" outlineLevel="0" collapsed="false">
      <c r="A31" s="11" t="s">
        <v>35</v>
      </c>
      <c r="B31" s="12" t="n">
        <v>6.58</v>
      </c>
      <c r="C31" s="13" t="n">
        <v>3200</v>
      </c>
      <c r="D31" s="14" t="str">
        <f aca="false">IF(B31&gt;6,"HIGH","normal")</f>
        <v>HIGH</v>
      </c>
      <c r="E31" s="14" t="s">
        <v>7</v>
      </c>
    </row>
    <row r="32" customFormat="false" ht="15" hidden="false" customHeight="false" outlineLevel="0" collapsed="false">
      <c r="A32" s="11" t="s">
        <v>36</v>
      </c>
      <c r="B32" s="12" t="n">
        <v>6.55</v>
      </c>
      <c r="C32" s="13" t="n">
        <v>3500</v>
      </c>
      <c r="D32" s="14" t="str">
        <f aca="false">IF(B32&gt;6,"HIGH","normal")</f>
        <v>HIGH</v>
      </c>
      <c r="E32" s="14" t="s">
        <v>7</v>
      </c>
    </row>
    <row r="33" customFormat="false" ht="15" hidden="false" customHeight="false" outlineLevel="0" collapsed="false">
      <c r="A33" s="11" t="s">
        <v>37</v>
      </c>
      <c r="B33" s="12" t="n">
        <v>6.5</v>
      </c>
      <c r="C33" s="13" t="n">
        <v>3200</v>
      </c>
      <c r="D33" s="14" t="str">
        <f aca="false">IF(B33&gt;6,"HIGH","normal")</f>
        <v>HIGH</v>
      </c>
      <c r="E33" s="14" t="s">
        <v>7</v>
      </c>
    </row>
    <row r="34" customFormat="false" ht="15" hidden="false" customHeight="false" outlineLevel="0" collapsed="false">
      <c r="A34" s="11" t="s">
        <v>38</v>
      </c>
      <c r="B34" s="12" t="n">
        <v>6.42</v>
      </c>
      <c r="C34" s="13" t="n">
        <v>3115</v>
      </c>
      <c r="D34" s="14" t="str">
        <f aca="false">IF(B34&gt;6,"HIGH","normal")</f>
        <v>HIGH</v>
      </c>
      <c r="E34" s="14" t="s">
        <v>7</v>
      </c>
    </row>
    <row r="35" customFormat="false" ht="15" hidden="false" customHeight="false" outlineLevel="0" collapsed="false">
      <c r="A35" s="11" t="s">
        <v>39</v>
      </c>
      <c r="B35" s="12" t="n">
        <v>6.4</v>
      </c>
      <c r="C35" s="13" t="n">
        <v>3083</v>
      </c>
      <c r="D35" s="14" t="str">
        <f aca="false">IF(B35&gt;6,"HIGH","normal")</f>
        <v>HIGH</v>
      </c>
      <c r="E35" s="14" t="s">
        <v>7</v>
      </c>
    </row>
    <row r="36" customFormat="false" ht="15" hidden="false" customHeight="false" outlineLevel="0" collapsed="false">
      <c r="A36" s="11" t="s">
        <v>40</v>
      </c>
      <c r="B36" s="12" t="n">
        <v>6.35</v>
      </c>
      <c r="C36" s="13" t="n">
        <v>3002</v>
      </c>
      <c r="D36" s="14" t="str">
        <f aca="false">IF(B36&gt;6,"HIGH","normal")</f>
        <v>HIGH</v>
      </c>
      <c r="E36" s="14" t="s">
        <v>7</v>
      </c>
    </row>
    <row r="37" customFormat="false" ht="15" hidden="false" customHeight="false" outlineLevel="0" collapsed="false">
      <c r="A37" s="11" t="s">
        <v>41</v>
      </c>
      <c r="B37" s="12" t="n">
        <v>6.28</v>
      </c>
      <c r="C37" s="13" t="n">
        <v>2700</v>
      </c>
      <c r="D37" s="14" t="str">
        <f aca="false">IF(B37&gt;6,"HIGH","normal")</f>
        <v>HIGH</v>
      </c>
      <c r="E37" s="14" t="s">
        <v>7</v>
      </c>
    </row>
    <row r="38" customFormat="false" ht="15" hidden="false" customHeight="false" outlineLevel="0" collapsed="false">
      <c r="A38" s="11" t="s">
        <v>42</v>
      </c>
      <c r="B38" s="12" t="n">
        <v>6.25</v>
      </c>
      <c r="C38" s="13" t="n">
        <v>2550</v>
      </c>
      <c r="D38" s="14" t="str">
        <f aca="false">IF(B38&gt;6,"HIGH","normal")</f>
        <v>HIGH</v>
      </c>
      <c r="E38" s="14" t="s">
        <v>7</v>
      </c>
    </row>
    <row r="39" customFormat="false" ht="15" hidden="false" customHeight="false" outlineLevel="0" collapsed="false">
      <c r="A39" s="11" t="s">
        <v>43</v>
      </c>
      <c r="B39" s="12" t="n">
        <v>6.15</v>
      </c>
      <c r="C39" s="13" t="n">
        <v>2200</v>
      </c>
      <c r="D39" s="14" t="str">
        <f aca="false">IF(B39&gt;6,"HIGH","normal")</f>
        <v>HIGH</v>
      </c>
      <c r="E39" s="14" t="s">
        <v>7</v>
      </c>
    </row>
    <row r="40" customFormat="false" ht="15" hidden="false" customHeight="false" outlineLevel="0" collapsed="false">
      <c r="A40" s="11" t="s">
        <v>44</v>
      </c>
      <c r="B40" s="12" t="n">
        <v>6.1</v>
      </c>
      <c r="C40" s="13" t="n">
        <v>2300</v>
      </c>
      <c r="D40" s="14" t="str">
        <f aca="false">IF(B40&gt;6,"HIGH","normal")</f>
        <v>HIGH</v>
      </c>
      <c r="E40" s="14" t="s">
        <v>7</v>
      </c>
    </row>
    <row r="41" customFormat="false" ht="15" hidden="false" customHeight="false" outlineLevel="0" collapsed="false">
      <c r="A41" s="11" t="s">
        <v>45</v>
      </c>
      <c r="B41" s="12" t="n">
        <v>6.07</v>
      </c>
      <c r="C41" s="13" t="n">
        <v>2800</v>
      </c>
      <c r="D41" s="14" t="str">
        <f aca="false">IF(B41&gt;6,"HIGH","normal")</f>
        <v>HIGH</v>
      </c>
      <c r="E41" s="14" t="s">
        <v>7</v>
      </c>
    </row>
    <row r="42" customFormat="false" ht="15" hidden="false" customHeight="false" outlineLevel="0" collapsed="false">
      <c r="A42" s="7" t="s">
        <v>46</v>
      </c>
      <c r="B42" s="8" t="n">
        <v>5.95</v>
      </c>
      <c r="C42" s="9" t="n">
        <v>3000</v>
      </c>
      <c r="D42" s="10" t="str">
        <f aca="false">IF(B42&gt;6,"HIGH","normal")</f>
        <v>normal</v>
      </c>
      <c r="E42" s="10" t="s">
        <v>7</v>
      </c>
    </row>
    <row r="43" customFormat="false" ht="15" hidden="false" customHeight="false" outlineLevel="0" collapsed="false">
      <c r="A43" s="3" t="s">
        <v>47</v>
      </c>
      <c r="B43" s="4" t="n">
        <v>5.8</v>
      </c>
      <c r="C43" s="5" t="n">
        <v>3200</v>
      </c>
      <c r="D43" s="6" t="str">
        <f aca="false">IF(B43&gt;6,"HIGH","normal")</f>
        <v>normal</v>
      </c>
      <c r="E43" s="6" t="s">
        <v>7</v>
      </c>
    </row>
    <row r="44" customFormat="false" ht="15" hidden="false" customHeight="false" outlineLevel="0" collapsed="false">
      <c r="A44" s="7" t="s">
        <v>48</v>
      </c>
      <c r="B44" s="8" t="n">
        <v>5.72</v>
      </c>
      <c r="C44" s="9" t="n">
        <v>3600</v>
      </c>
      <c r="D44" s="10" t="str">
        <f aca="false">IF(B44&gt;6,"HIGH","normal")</f>
        <v>normal</v>
      </c>
      <c r="E44" s="10" t="s">
        <v>7</v>
      </c>
    </row>
    <row r="45" customFormat="false" ht="15" hidden="false" customHeight="false" outlineLevel="0" collapsed="false">
      <c r="A45" s="3" t="s">
        <v>49</v>
      </c>
      <c r="B45" s="4" t="n">
        <v>5.65</v>
      </c>
      <c r="C45" s="5" t="n">
        <v>3600</v>
      </c>
      <c r="D45" s="6" t="str">
        <f aca="false">IF(B45&gt;6,"HIGH","normal")</f>
        <v>normal</v>
      </c>
      <c r="E45" s="6" t="s">
        <v>7</v>
      </c>
    </row>
    <row r="46" customFormat="false" ht="15" hidden="false" customHeight="false" outlineLevel="0" collapsed="false">
      <c r="A46" s="7" t="s">
        <v>50</v>
      </c>
      <c r="B46" s="8" t="n">
        <v>5.6</v>
      </c>
      <c r="C46" s="9" t="n">
        <v>3200</v>
      </c>
      <c r="D46" s="10" t="str">
        <f aca="false">IF(B46&gt;6,"HIGH","normal")</f>
        <v>normal</v>
      </c>
      <c r="E46" s="10" t="s">
        <v>7</v>
      </c>
    </row>
    <row r="47" customFormat="false" ht="15" hidden="false" customHeight="false" outlineLevel="0" collapsed="false">
      <c r="A47" s="3" t="s">
        <v>51</v>
      </c>
      <c r="B47" s="4" t="n">
        <v>5.55</v>
      </c>
      <c r="C47" s="5" t="n">
        <v>3100</v>
      </c>
      <c r="D47" s="6" t="str">
        <f aca="false">IF(B47&gt;6,"HIGH","normal")</f>
        <v>normal</v>
      </c>
      <c r="E47" s="6" t="s">
        <v>7</v>
      </c>
    </row>
    <row r="48" customFormat="false" ht="15" hidden="false" customHeight="false" outlineLevel="0" collapsed="false">
      <c r="A48" s="7" t="s">
        <v>52</v>
      </c>
      <c r="B48" s="8" t="n">
        <v>5.55</v>
      </c>
      <c r="C48" s="9" t="n">
        <v>3165</v>
      </c>
      <c r="D48" s="10" t="str">
        <f aca="false">IF(B48&gt;6,"HIGH","normal")</f>
        <v>normal</v>
      </c>
      <c r="E48" s="10" t="s">
        <v>7</v>
      </c>
    </row>
    <row r="49" customFormat="false" ht="15" hidden="false" customHeight="false" outlineLevel="0" collapsed="false">
      <c r="A49" s="3" t="s">
        <v>53</v>
      </c>
      <c r="B49" s="4" t="n">
        <v>5.58</v>
      </c>
      <c r="C49" s="5" t="n">
        <v>2729</v>
      </c>
      <c r="D49" s="6" t="str">
        <f aca="false">IF(B49&gt;6,"HIGH","normal")</f>
        <v>normal</v>
      </c>
      <c r="E49" s="6" t="s">
        <v>7</v>
      </c>
    </row>
    <row r="50" customFormat="false" ht="15" hidden="false" customHeight="false" outlineLevel="0" collapsed="false">
      <c r="A50" s="7" t="s">
        <v>54</v>
      </c>
      <c r="B50" s="8" t="n">
        <v>5.61</v>
      </c>
      <c r="C50" s="9" t="n">
        <v>2511</v>
      </c>
      <c r="D50" s="10" t="str">
        <f aca="false">IF(B50&gt;6,"HIGH","normal")</f>
        <v>normal</v>
      </c>
      <c r="E50" s="10" t="s">
        <v>7</v>
      </c>
    </row>
    <row r="51" customFormat="false" ht="15" hidden="false" customHeight="false" outlineLevel="0" collapsed="false">
      <c r="A51" s="3" t="s">
        <v>55</v>
      </c>
      <c r="B51" s="4" t="n">
        <v>5.93</v>
      </c>
      <c r="C51" s="5" t="n">
        <v>2400</v>
      </c>
      <c r="D51" s="6" t="str">
        <f aca="false">IF(B51&gt;6,"HIGH","normal")</f>
        <v>normal</v>
      </c>
      <c r="E51" s="6" t="s">
        <v>7</v>
      </c>
    </row>
    <row r="52" customFormat="false" ht="15" hidden="false" customHeight="false" outlineLevel="0" collapsed="false">
      <c r="A52" s="7" t="s">
        <v>56</v>
      </c>
      <c r="B52" s="8" t="n">
        <v>5.93</v>
      </c>
      <c r="C52" s="9" t="n">
        <v>2500</v>
      </c>
      <c r="D52" s="10" t="str">
        <f aca="false">IF(B52&gt;6,"HIGH","normal")</f>
        <v>normal</v>
      </c>
      <c r="E52" s="10" t="s">
        <v>7</v>
      </c>
    </row>
    <row r="53" customFormat="false" ht="15" hidden="false" customHeight="false" outlineLevel="0" collapsed="false">
      <c r="A53" s="3" t="s">
        <v>57</v>
      </c>
      <c r="B53" s="4" t="n">
        <v>5.91</v>
      </c>
      <c r="C53" s="5" t="n">
        <v>3200</v>
      </c>
      <c r="D53" s="6" t="str">
        <f aca="false">IF(B53&gt;6,"HIGH","normal")</f>
        <v>normal</v>
      </c>
      <c r="E53" s="6" t="s">
        <v>7</v>
      </c>
    </row>
    <row r="54" customFormat="false" ht="15" hidden="false" customHeight="false" outlineLevel="0" collapsed="false">
      <c r="A54" s="7" t="s">
        <v>58</v>
      </c>
      <c r="B54" s="8" t="n">
        <v>5.9</v>
      </c>
      <c r="C54" s="9" t="n">
        <v>3300</v>
      </c>
      <c r="D54" s="10" t="str">
        <f aca="false">IF(B54&gt;6,"HIGH","normal")</f>
        <v>normal</v>
      </c>
      <c r="E54" s="10" t="s">
        <v>7</v>
      </c>
    </row>
    <row r="55" customFormat="false" ht="15" hidden="false" customHeight="false" outlineLevel="0" collapsed="false">
      <c r="A55" s="11" t="s">
        <v>59</v>
      </c>
      <c r="B55" s="12" t="n">
        <v>7.15</v>
      </c>
      <c r="C55" s="13" t="n">
        <v>3364</v>
      </c>
      <c r="D55" s="14" t="str">
        <f aca="false">IF(B55&gt;6,"HIGH","normal")</f>
        <v>HIGH</v>
      </c>
      <c r="E55" s="14" t="s">
        <v>7</v>
      </c>
    </row>
    <row r="56" customFormat="false" ht="15" hidden="false" customHeight="false" outlineLevel="0" collapsed="false">
      <c r="A56" s="11" t="s">
        <v>60</v>
      </c>
      <c r="B56" s="12" t="n">
        <v>7.09</v>
      </c>
      <c r="C56" s="13" t="n">
        <v>3350</v>
      </c>
      <c r="D56" s="14" t="str">
        <f aca="false">IF(B56&gt;6,"HIGH","normal")</f>
        <v>HIGH</v>
      </c>
      <c r="E56" s="14" t="s">
        <v>7</v>
      </c>
    </row>
    <row r="57" customFormat="false" ht="15" hidden="false" customHeight="false" outlineLevel="0" collapsed="false">
      <c r="A57" s="11" t="s">
        <v>61</v>
      </c>
      <c r="B57" s="12" t="n">
        <v>6.75</v>
      </c>
      <c r="C57" s="13" t="n">
        <v>3200</v>
      </c>
      <c r="D57" s="14" t="str">
        <f aca="false">IF(B57&gt;6,"HIGH","normal")</f>
        <v>HIGH</v>
      </c>
      <c r="E57" s="14" t="s">
        <v>7</v>
      </c>
    </row>
    <row r="58" customFormat="false" ht="15" hidden="false" customHeight="false" outlineLevel="0" collapsed="false">
      <c r="A58" s="11" t="s">
        <v>62</v>
      </c>
      <c r="B58" s="12" t="n">
        <v>6.6</v>
      </c>
      <c r="C58" s="13" t="n">
        <v>3207</v>
      </c>
      <c r="D58" s="14" t="str">
        <f aca="false">IF(B58&gt;6,"HIGH","normal")</f>
        <v>HIGH</v>
      </c>
      <c r="E58" s="14" t="s">
        <v>7</v>
      </c>
    </row>
    <row r="59" customFormat="false" ht="15" hidden="false" customHeight="false" outlineLevel="0" collapsed="false">
      <c r="A59" s="11" t="s">
        <v>63</v>
      </c>
      <c r="B59" s="12" t="n">
        <v>6.52</v>
      </c>
      <c r="C59" s="13" t="n">
        <v>3598</v>
      </c>
      <c r="D59" s="14" t="str">
        <f aca="false">IF(B59&gt;6,"HIGH","normal")</f>
        <v>HIGH</v>
      </c>
      <c r="E59" s="14" t="s">
        <v>7</v>
      </c>
    </row>
    <row r="60" customFormat="false" ht="15" hidden="false" customHeight="false" outlineLevel="0" collapsed="false">
      <c r="A60" s="11" t="s">
        <v>64</v>
      </c>
      <c r="B60" s="12" t="n">
        <v>6.4</v>
      </c>
      <c r="C60" s="13" t="n">
        <v>3259</v>
      </c>
      <c r="D60" s="14" t="str">
        <f aca="false">IF(B60&gt;6,"HIGH","normal")</f>
        <v>HIGH</v>
      </c>
      <c r="E60" s="14" t="s">
        <v>7</v>
      </c>
    </row>
    <row r="61" customFormat="false" ht="15" hidden="false" customHeight="false" outlineLevel="0" collapsed="false">
      <c r="A61" s="11" t="s">
        <v>65</v>
      </c>
      <c r="B61" s="12" t="n">
        <v>6.29</v>
      </c>
      <c r="C61" s="13" t="n">
        <v>2924</v>
      </c>
      <c r="D61" s="14" t="str">
        <f aca="false">IF(B61&gt;6,"HIGH","normal")</f>
        <v>HIGH</v>
      </c>
      <c r="E61" s="14" t="s">
        <v>7</v>
      </c>
    </row>
    <row r="62" customFormat="false" ht="15" hidden="false" customHeight="false" outlineLevel="0" collapsed="false">
      <c r="A62" s="11" t="s">
        <v>66</v>
      </c>
      <c r="B62" s="12" t="n">
        <v>6.14</v>
      </c>
      <c r="C62" s="13" t="n">
        <v>2650</v>
      </c>
      <c r="D62" s="14" t="str">
        <f aca="false">IF(B62&gt;6,"HIGH","normal")</f>
        <v>HIGH</v>
      </c>
      <c r="E62" s="14" t="s">
        <v>7</v>
      </c>
    </row>
    <row r="64" customFormat="false" ht="15" hidden="false" customHeight="false" outlineLevel="0" collapsed="false">
      <c r="A64" s="15" t="s">
        <v>67</v>
      </c>
      <c r="B64" s="15"/>
      <c r="C64" s="15"/>
      <c r="D64" s="15"/>
      <c r="E64" s="15"/>
    </row>
  </sheetData>
  <mergeCells count="2">
    <mergeCell ref="A1:E1"/>
    <mergeCell ref="A64:E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30" hidden="false" customHeight="true" outlineLevel="0" collapsed="false">
      <c r="A1" s="16" t="s">
        <v>68</v>
      </c>
      <c r="B1" s="16"/>
      <c r="C1" s="16"/>
      <c r="D1" s="16"/>
      <c r="E1" s="16"/>
      <c r="F1" s="16"/>
      <c r="G1" s="16"/>
    </row>
    <row r="2" customFormat="false" ht="18" hidden="false" customHeight="true" outlineLevel="0" collapsed="false">
      <c r="A2" s="17" t="s">
        <v>69</v>
      </c>
      <c r="B2" s="17"/>
      <c r="C2" s="17"/>
      <c r="D2" s="17"/>
      <c r="E2" s="17"/>
      <c r="F2" s="17"/>
      <c r="G2" s="17"/>
    </row>
    <row r="4" customFormat="false" ht="27.75" hidden="false" customHeight="true" outlineLevel="0" collapsed="false">
      <c r="A4" s="18" t="s">
        <v>70</v>
      </c>
      <c r="B4" s="18" t="s">
        <v>2</v>
      </c>
      <c r="C4" s="18" t="s">
        <v>71</v>
      </c>
      <c r="D4" s="18" t="s">
        <v>72</v>
      </c>
    </row>
    <row r="5" customFormat="false" ht="15" hidden="false" customHeight="false" outlineLevel="0" collapsed="false">
      <c r="A5" s="3" t="s">
        <v>73</v>
      </c>
      <c r="B5" s="19" t="n">
        <v>1.65</v>
      </c>
      <c r="C5" s="5" t="n">
        <v>2393</v>
      </c>
      <c r="D5" s="19" t="n">
        <v>6</v>
      </c>
    </row>
    <row r="6" customFormat="false" ht="15" hidden="false" customHeight="false" outlineLevel="0" collapsed="false">
      <c r="A6" s="7" t="s">
        <v>74</v>
      </c>
      <c r="B6" s="20" t="n">
        <v>1.55</v>
      </c>
      <c r="C6" s="9" t="n">
        <v>3450</v>
      </c>
      <c r="D6" s="20" t="n">
        <v>6</v>
      </c>
    </row>
    <row r="7" customFormat="false" ht="15" hidden="false" customHeight="false" outlineLevel="0" collapsed="false">
      <c r="A7" s="3" t="s">
        <v>75</v>
      </c>
      <c r="B7" s="19" t="n">
        <v>1.36</v>
      </c>
      <c r="C7" s="5" t="n">
        <v>3200</v>
      </c>
      <c r="D7" s="19" t="n">
        <v>6</v>
      </c>
    </row>
    <row r="8" customFormat="false" ht="15" hidden="false" customHeight="false" outlineLevel="0" collapsed="false">
      <c r="A8" s="7" t="s">
        <v>76</v>
      </c>
      <c r="B8" s="20" t="n">
        <v>2.5</v>
      </c>
      <c r="C8" s="9" t="n">
        <v>2607</v>
      </c>
      <c r="D8" s="20" t="n">
        <v>6</v>
      </c>
    </row>
    <row r="9" customFormat="false" ht="15" hidden="false" customHeight="false" outlineLevel="0" collapsed="false">
      <c r="A9" s="3" t="s">
        <v>77</v>
      </c>
      <c r="B9" s="19" t="n">
        <v>3.86</v>
      </c>
      <c r="C9" s="5" t="n">
        <v>2603</v>
      </c>
      <c r="D9" s="19" t="n">
        <v>6</v>
      </c>
    </row>
    <row r="10" customFormat="false" ht="15" hidden="false" customHeight="false" outlineLevel="0" collapsed="false">
      <c r="A10" s="7" t="s">
        <v>78</v>
      </c>
      <c r="B10" s="20" t="n">
        <v>5.74</v>
      </c>
      <c r="C10" s="9" t="n">
        <v>3683</v>
      </c>
      <c r="D10" s="20" t="n">
        <v>6</v>
      </c>
    </row>
    <row r="11" customFormat="false" ht="15" hidden="false" customHeight="false" outlineLevel="0" collapsed="false">
      <c r="A11" s="21" t="s">
        <v>79</v>
      </c>
      <c r="B11" s="22" t="n">
        <v>7.57</v>
      </c>
      <c r="C11" s="23" t="n">
        <v>3483</v>
      </c>
      <c r="D11" s="24" t="n">
        <v>6</v>
      </c>
    </row>
    <row r="12" customFormat="false" ht="15" hidden="false" customHeight="false" outlineLevel="0" collapsed="false">
      <c r="A12" s="21" t="s">
        <v>80</v>
      </c>
      <c r="B12" s="22" t="n">
        <v>8.04</v>
      </c>
      <c r="C12" s="23" t="n">
        <v>2790</v>
      </c>
      <c r="D12" s="24" t="n">
        <v>6</v>
      </c>
    </row>
    <row r="13" customFormat="false" ht="15" hidden="false" customHeight="false" outlineLevel="0" collapsed="false">
      <c r="A13" s="21" t="s">
        <v>81</v>
      </c>
      <c r="B13" s="22" t="n">
        <v>7.18</v>
      </c>
      <c r="C13" s="23" t="n">
        <v>2499</v>
      </c>
      <c r="D13" s="24" t="n">
        <v>6</v>
      </c>
    </row>
    <row r="14" customFormat="false" ht="15" hidden="false" customHeight="false" outlineLevel="0" collapsed="false">
      <c r="A14" s="21" t="s">
        <v>82</v>
      </c>
      <c r="B14" s="22" t="n">
        <v>6.59</v>
      </c>
      <c r="C14" s="23" t="n">
        <v>3200</v>
      </c>
      <c r="D14" s="24" t="n">
        <v>6</v>
      </c>
    </row>
    <row r="15" customFormat="false" ht="15" hidden="false" customHeight="false" outlineLevel="0" collapsed="false">
      <c r="A15" s="21" t="s">
        <v>83</v>
      </c>
      <c r="B15" s="22" t="n">
        <v>6.44</v>
      </c>
      <c r="C15" s="23" t="n">
        <v>3133</v>
      </c>
      <c r="D15" s="24" t="n">
        <v>6</v>
      </c>
    </row>
    <row r="16" customFormat="false" ht="15" hidden="false" customHeight="false" outlineLevel="0" collapsed="false">
      <c r="A16" s="21" t="s">
        <v>84</v>
      </c>
      <c r="B16" s="22" t="n">
        <v>6.29</v>
      </c>
      <c r="C16" s="23" t="n">
        <v>2751</v>
      </c>
      <c r="D16" s="24" t="n">
        <v>6</v>
      </c>
    </row>
    <row r="17" customFormat="false" ht="15" hidden="false" customHeight="false" outlineLevel="0" collapsed="false">
      <c r="A17" s="21" t="s">
        <v>85</v>
      </c>
      <c r="B17" s="22" t="n">
        <v>6.11</v>
      </c>
      <c r="C17" s="23" t="n">
        <v>2433</v>
      </c>
      <c r="D17" s="24" t="n">
        <v>6</v>
      </c>
    </row>
    <row r="18" customFormat="false" ht="15" hidden="false" customHeight="false" outlineLevel="0" collapsed="false">
      <c r="A18" s="7" t="s">
        <v>86</v>
      </c>
      <c r="B18" s="20" t="n">
        <v>5.82</v>
      </c>
      <c r="C18" s="9" t="n">
        <v>3267</v>
      </c>
      <c r="D18" s="20" t="n">
        <v>6</v>
      </c>
    </row>
    <row r="19" customFormat="false" ht="15" hidden="false" customHeight="false" outlineLevel="0" collapsed="false">
      <c r="A19" s="3" t="s">
        <v>87</v>
      </c>
      <c r="B19" s="19" t="n">
        <v>5.6</v>
      </c>
      <c r="C19" s="5" t="n">
        <v>3300</v>
      </c>
      <c r="D19" s="19" t="n">
        <v>6</v>
      </c>
    </row>
    <row r="20" customFormat="false" ht="15" hidden="false" customHeight="false" outlineLevel="0" collapsed="false">
      <c r="A20" s="7" t="s">
        <v>88</v>
      </c>
      <c r="B20" s="20" t="n">
        <v>5.58</v>
      </c>
      <c r="C20" s="9" t="n">
        <v>2802</v>
      </c>
      <c r="D20" s="20" t="n">
        <v>6</v>
      </c>
    </row>
    <row r="21" customFormat="false" ht="15" hidden="false" customHeight="false" outlineLevel="0" collapsed="false">
      <c r="A21" s="3" t="s">
        <v>89</v>
      </c>
      <c r="B21" s="19" t="n">
        <v>5.92</v>
      </c>
      <c r="C21" s="5" t="n">
        <v>2700</v>
      </c>
      <c r="D21" s="19" t="n">
        <v>6</v>
      </c>
    </row>
    <row r="22" customFormat="false" ht="15" hidden="false" customHeight="false" outlineLevel="0" collapsed="false">
      <c r="A22" s="21" t="s">
        <v>90</v>
      </c>
      <c r="B22" s="22" t="n">
        <v>6.71</v>
      </c>
      <c r="C22" s="23" t="n">
        <v>3338</v>
      </c>
      <c r="D22" s="24" t="n">
        <v>6</v>
      </c>
    </row>
    <row r="23" customFormat="false" ht="15" hidden="false" customHeight="false" outlineLevel="0" collapsed="false">
      <c r="A23" s="21" t="s">
        <v>91</v>
      </c>
      <c r="B23" s="22" t="n">
        <v>6.62</v>
      </c>
      <c r="C23" s="23" t="n">
        <v>3335</v>
      </c>
      <c r="D23" s="24" t="n">
        <v>6</v>
      </c>
    </row>
    <row r="24" customFormat="false" ht="15" hidden="false" customHeight="false" outlineLevel="0" collapsed="false">
      <c r="A24" s="21" t="s">
        <v>92</v>
      </c>
      <c r="B24" s="22" t="n">
        <v>6.28</v>
      </c>
      <c r="C24" s="23" t="n">
        <v>2944</v>
      </c>
      <c r="D24" s="24" t="n">
        <v>6</v>
      </c>
    </row>
    <row r="62" customFormat="false" ht="48" hidden="false" customHeight="true" outlineLevel="0" collapsed="false">
      <c r="A62" s="25" t="s">
        <v>93</v>
      </c>
      <c r="B62" s="25"/>
      <c r="C62" s="25"/>
      <c r="D62" s="25"/>
      <c r="E62" s="25"/>
      <c r="F62" s="25"/>
      <c r="G62" s="25"/>
    </row>
    <row r="64" customFormat="false" ht="15" hidden="false" customHeight="false" outlineLevel="0" collapsed="false">
      <c r="A64" s="26" t="s">
        <v>94</v>
      </c>
      <c r="B64" s="26"/>
      <c r="C64" s="26"/>
      <c r="D64" s="26"/>
      <c r="E64" s="26"/>
      <c r="F64" s="26"/>
      <c r="G64" s="26"/>
    </row>
  </sheetData>
  <mergeCells count="4">
    <mergeCell ref="A1:G1"/>
    <mergeCell ref="A2:G2"/>
    <mergeCell ref="A62:G62"/>
    <mergeCell ref="A64:G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36" hidden="false" customHeight="true" outlineLevel="0" collapsed="false">
      <c r="A1" s="27" t="s">
        <v>95</v>
      </c>
      <c r="B1" s="27"/>
      <c r="C1" s="27"/>
      <c r="D1" s="27"/>
      <c r="E1" s="27"/>
      <c r="F1" s="27"/>
    </row>
    <row r="2" customFormat="false" ht="21.75" hidden="false" customHeight="true" outlineLevel="0" collapsed="false">
      <c r="A2" s="28" t="s">
        <v>96</v>
      </c>
      <c r="B2" s="28"/>
      <c r="C2" s="28"/>
      <c r="D2" s="28"/>
      <c r="E2" s="28"/>
      <c r="F2" s="28"/>
    </row>
    <row r="4" customFormat="false" ht="24" hidden="false" customHeight="true" outlineLevel="0" collapsed="false">
      <c r="A4" s="29" t="s">
        <v>1</v>
      </c>
      <c r="B4" s="29" t="s">
        <v>97</v>
      </c>
      <c r="C4" s="29" t="s">
        <v>98</v>
      </c>
      <c r="D4" s="29" t="s">
        <v>99</v>
      </c>
      <c r="E4" s="29" t="s">
        <v>100</v>
      </c>
      <c r="F4" s="29" t="s">
        <v>101</v>
      </c>
    </row>
    <row r="5" customFormat="false" ht="24" hidden="false" customHeight="true" outlineLevel="0" collapsed="false">
      <c r="A5" s="30" t="s">
        <v>102</v>
      </c>
      <c r="B5" s="31" t="s">
        <v>103</v>
      </c>
      <c r="C5" s="31" t="s">
        <v>104</v>
      </c>
      <c r="D5" s="31" t="s">
        <v>105</v>
      </c>
      <c r="E5" s="31" t="s">
        <v>106</v>
      </c>
      <c r="F5" s="31" t="s">
        <v>107</v>
      </c>
    </row>
    <row r="6" customFormat="false" ht="24" hidden="false" customHeight="true" outlineLevel="0" collapsed="false">
      <c r="A6" s="32" t="s">
        <v>108</v>
      </c>
      <c r="B6" s="33" t="s">
        <v>109</v>
      </c>
      <c r="C6" s="33" t="s">
        <v>110</v>
      </c>
      <c r="D6" s="33" t="s">
        <v>111</v>
      </c>
      <c r="E6" s="33" t="s">
        <v>112</v>
      </c>
      <c r="F6" s="33" t="s">
        <v>113</v>
      </c>
    </row>
    <row r="7" customFormat="false" ht="24" hidden="false" customHeight="true" outlineLevel="0" collapsed="false">
      <c r="A7" s="34" t="s">
        <v>114</v>
      </c>
      <c r="B7" s="35" t="s">
        <v>115</v>
      </c>
      <c r="C7" s="36" t="s">
        <v>116</v>
      </c>
      <c r="D7" s="37" t="s">
        <v>117</v>
      </c>
      <c r="E7" s="37" t="s">
        <v>118</v>
      </c>
      <c r="F7" s="37" t="s">
        <v>119</v>
      </c>
    </row>
    <row r="8" customFormat="false" ht="24" hidden="false" customHeight="true" outlineLevel="0" collapsed="false">
      <c r="A8" s="32" t="s">
        <v>120</v>
      </c>
      <c r="B8" s="33" t="s">
        <v>121</v>
      </c>
      <c r="C8" s="33" t="s">
        <v>122</v>
      </c>
      <c r="D8" s="33" t="s">
        <v>123</v>
      </c>
      <c r="E8" s="33" t="s">
        <v>124</v>
      </c>
      <c r="F8" s="33" t="s">
        <v>125</v>
      </c>
    </row>
    <row r="9" customFormat="false" ht="24" hidden="false" customHeight="true" outlineLevel="0" collapsed="false">
      <c r="A9" s="32" t="s">
        <v>126</v>
      </c>
      <c r="B9" s="33" t="s">
        <v>127</v>
      </c>
      <c r="C9" s="33" t="s">
        <v>128</v>
      </c>
      <c r="D9" s="33" t="s">
        <v>129</v>
      </c>
      <c r="E9" s="33" t="s">
        <v>130</v>
      </c>
      <c r="F9" s="33" t="s">
        <v>131</v>
      </c>
    </row>
    <row r="11" customFormat="false" ht="19.5" hidden="false" customHeight="true" outlineLevel="0" collapsed="false">
      <c r="A11" s="38" t="s">
        <v>132</v>
      </c>
      <c r="B11" s="38" t="s">
        <v>133</v>
      </c>
      <c r="C11" s="38" t="s">
        <v>134</v>
      </c>
      <c r="D11" s="38" t="s">
        <v>135</v>
      </c>
    </row>
    <row r="12" customFormat="false" ht="33.75" hidden="false" customHeight="true" outlineLevel="0" collapsed="false">
      <c r="A12" s="39" t="s">
        <v>136</v>
      </c>
      <c r="B12" s="39" t="s">
        <v>117</v>
      </c>
      <c r="C12" s="39" t="s">
        <v>137</v>
      </c>
      <c r="D12" s="40" t="s">
        <v>138</v>
      </c>
    </row>
    <row r="13" customFormat="false" ht="36" hidden="false" customHeight="true" outlineLevel="0" collapsed="false">
      <c r="A13" s="41" t="s">
        <v>139</v>
      </c>
      <c r="B13" s="41" t="s">
        <v>140</v>
      </c>
      <c r="C13" s="41" t="s">
        <v>141</v>
      </c>
      <c r="D13" s="41" t="s">
        <v>142</v>
      </c>
    </row>
    <row r="16" customFormat="false" ht="25.5" hidden="false" customHeight="true" outlineLevel="0" collapsed="false">
      <c r="A16" s="42" t="s">
        <v>143</v>
      </c>
      <c r="B16" s="42"/>
      <c r="C16" s="42"/>
      <c r="D16" s="42"/>
      <c r="E16" s="42"/>
      <c r="F16" s="42"/>
    </row>
    <row r="17" customFormat="false" ht="25.5" hidden="false" customHeight="true" outlineLevel="0" collapsed="false">
      <c r="A17" s="42"/>
      <c r="B17" s="42"/>
      <c r="C17" s="42"/>
      <c r="D17" s="42"/>
      <c r="E17" s="42"/>
      <c r="F17" s="42"/>
    </row>
    <row r="18" customFormat="false" ht="25.5" hidden="false" customHeight="true" outlineLevel="0" collapsed="false">
      <c r="A18" s="42"/>
      <c r="B18" s="42"/>
      <c r="C18" s="42"/>
      <c r="D18" s="42"/>
      <c r="E18" s="42"/>
      <c r="F18" s="42"/>
    </row>
  </sheetData>
  <mergeCells count="3">
    <mergeCell ref="A1:F1"/>
    <mergeCell ref="A2:F2"/>
    <mergeCell ref="A16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2026-02-26T12:26:16Z</dcterms:created>
  <dc:creator>openpyxl</dc:creator>
  <dc:description/>
  <dc:language>en-US</dc:language>
  <cp:lastModifiedBy/>
  <dcterms:modified xsi:type="dcterms:W3CDTF">2026-02-26T12:26:29Z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