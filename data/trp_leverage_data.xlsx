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BOR vs Construction" sheetId="1" state="visible" r:id="rId3"/>
    <sheet name="Debt Leverage Gauge" sheetId="2" state="visible" r:id="rId4"/>
    <sheet name="Chart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<sst xmlns="http://schemas.openxmlformats.org/spreadsheetml/2006/main" count="69" uniqueCount="64">
  <si>
    <t xml:space="preserve">Quarter</t>
  </si>
  <si>
    <t xml:space="preserve">ROBOR 3M Rate (%)</t>
  </si>
  <si>
    <t xml:space="preserve">Residential Construction Volume Index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</si>
  <si>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</si>
  <si>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</si>
  <si>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</si>
  <si>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</si>
  <si>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</si>
  <si>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</si>
  <si>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</si>
  <si>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</si>
  <si>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</si>
  <si>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</si>
  <si>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</si>
  <si>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</si>
  <si>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Notes:</t>
  </si>
  <si>
    <t xml:space="preserve">ROBOR 3M: Romanian Interbank Offer Rate (3-month), current ~5.8-6.1%</t>
  </si>
  <si>
    <t xml:space="preserve">Construction Index: Base year 2022 = 100</t>
  </si>
  <si>
    <t xml:space="preserve">Shows inverse correlation: High rates → Declining construction volume</t>
  </si>
  <si>
    <t xml:space="preserve">Metric</t>
  </si>
  <si>
    <t xml:space="preserve">Value</t>
  </si>
  <si>
    <t xml:space="preserve">Category</t>
  </si>
  <si>
    <t xml:space="preserve">TRP Net Debt/EBITDA</t>
  </si>
  <si>
    <t xml:space="preserve">Actual</t>
  </si>
  <si>
    <t xml:space="preserve">Healthy Range - Minimum</t>
  </si>
  <si>
    <t xml:space="preserve">Benchmark</t>
  </si>
  <si>
    <t xml:space="preserve">Healthy Range - Maximum</t>
  </si>
  <si>
    <t xml:space="preserve">Caution Zone - Minimum</t>
  </si>
  <si>
    <t xml:space="preserve">Caution Zone - Maximum</t>
  </si>
  <si>
    <t xml:space="preserve">High Risk Zone - Minimum</t>
  </si>
  <si>
    <t xml:space="preserve">High Risk Zone - Maximum</t>
  </si>
  <si>
    <t xml:space="preserve">Key Insights:</t>
  </si>
  <si>
    <t xml:space="preserve">TRP vs Healthy Maximum:</t>
  </si>
  <si>
    <t xml:space="preserve">Excess over healthy range</t>
  </si>
  <si>
    <t xml:space="preserve">Absolute Excess:</t>
  </si>
  <si>
    <t xml:space="preserve">Leverage points above max</t>
  </si>
  <si>
    <t xml:space="preserve">Context:</t>
  </si>
  <si>
    <t xml:space="preserve">- Industry standard: 2.0x - 2.5x Net Debt/EBITDA</t>
  </si>
  <si>
    <t xml:space="preserve">- Caution zone: 2.5x - 3.5x (elevated risk)</t>
  </si>
  <si>
    <t xml:space="preserve">- High risk: 3.5x+ (covenant breach risk)</t>
  </si>
  <si>
    <t xml:space="preserve">- TRP at 4.7x is deep in danger zone</t>
  </si>
  <si>
    <t xml:space="preserve">How to Create the Charts in Excel</t>
  </si>
  <si>
    <t xml:space="preserve">DUAL-AXIS LINE CHART (ROBOR vs Construction):</t>
  </si>
  <si>
    <t xml:space="preserve">1. Go to "ROBOR vs Construction" sheet</t>
  </si>
  <si>
    <t xml:space="preserve">2. Select data range A1:C13</t>
  </si>
  <si>
    <t xml:space="preserve">3. Insert → Charts → Line Chart (with markers)</t>
  </si>
  <si>
    <t xml:space="preserve">4. Right-click the Construction series → Format Data Series → Secondary Axis</t>
  </si>
  <si>
    <t xml:space="preserve">5. Format axes:</t>
  </si>
  <si>
    <t xml:space="preserve">   - Left axis (ROBOR): 0% to 8%, title "ROBOR 3M Rate (%)"</t>
  </si>
  <si>
    <t xml:space="preserve">   - Right axis (Construction): 60 to 120, title "Construction Volume Index"</t>
  </si>
  <si>
    <t xml:space="preserve">6. Change ROBOR line color to blue, Construction to red</t>
  </si>
  <si>
    <t xml:space="preserve">7. Add chart title: "The Inverse Correlation: Rising Rates, Falling Demand"</t>
  </si>
  <si>
    <t xml:space="preserve">DEBT GAUGE CHART (Alternative: use conditional formatting or create manually):</t>
  </si>
  <si>
    <t xml:space="preserve">1. Go to "Debt Leverage Gauge" sheet</t>
  </si>
  <si>
    <t xml:space="preserve">2. For a visual gauge in Excel:</t>
  </si>
  <si>
    <t xml:space="preserve">   Option A: Create a Doughnut Chart with the benchmark ranges</t>
  </si>
  <si>
    <t xml:space="preserve">   Option B: Use a Bar Chart with color-coded zones</t>
  </si>
  <si>
    <t xml:space="preserve">   Option C: Use conditional formatting with data bars</t>
  </si>
  <si>
    <t xml:space="preserve">3. Recommended: Bar Chart approach:</t>
  </si>
  <si>
    <t xml:space="preserve">   - Select B3:B9 (the benchmark values)</t>
  </si>
  <si>
    <t xml:space="preserve">   - Insert → Bar Chart → Stacked Bar</t>
  </si>
  <si>
    <t xml:space="preserve">   - Format bars: Green (2.0-2.5), Yellow (2.5-3.5), Red (3.5-6.0)</t>
  </si>
  <si>
    <t xml:space="preserve">   - Add a marker or arrow at 4.7 to show TRP position</t>
  </si>
  <si>
    <t xml:space="preserve">ALTERNATIVE: Create gauge outside Excel (PowerPoint, Illustrator) using the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</si>
</sst>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3.2</v>
      </c>
      <c r="C2" s="3" t="n">
        <v>108</v>
      </c>
    </row>
    <row r="3" customFormat="false" ht="15" hidden="false" customHeight="false" outlineLevel="0" collapsed="false">
      <c r="A3" s="0" t="s">
        <v>4</v>
      </c>
      <c r="B3" s="2" t="n">
        <v>4.8</v>
      </c>
      <c r="C3" s="3" t="n">
        <v>105</v>
      </c>
    </row>
    <row r="4" customFormat="false" ht="15" hidden="false" customHeight="false" outlineLevel="0" collapsed="false">
      <c r="A4" s="0" t="s">
        <v>5</v>
      </c>
      <c r="B4" s="2" t="n">
        <v>6.5</v>
      </c>
      <c r="C4" s="3" t="n">
        <v>98</v>
      </c>
    </row>
    <row r="5" customFormat="false" ht="15" hidden="false" customHeight="false" outlineLevel="0" collapsed="false">
      <c r="A5" s="0" t="s">
        <v>6</v>
      </c>
      <c r="B5" s="2" t="n">
        <v>7.1</v>
      </c>
      <c r="C5" s="3" t="n">
        <v>92</v>
      </c>
    </row>
    <row r="6" customFormat="false" ht="15" hidden="false" customHeight="false" outlineLevel="0" collapsed="false">
      <c r="A6" s="0" t="s">
        <v>7</v>
      </c>
      <c r="B6" s="2" t="n">
        <v>6.9</v>
      </c>
      <c r="C6" s="3" t="n">
        <v>88</v>
      </c>
    </row>
    <row r="7" customFormat="false" ht="15" hidden="false" customHeight="false" outlineLevel="0" collapsed="false">
      <c r="A7" s="0" t="s">
        <v>8</v>
      </c>
      <c r="B7" s="2" t="n">
        <v>6.5</v>
      </c>
      <c r="C7" s="3" t="n">
        <v>85</v>
      </c>
    </row>
    <row r="8" customFormat="false" ht="15" hidden="false" customHeight="false" outlineLevel="0" collapsed="false">
      <c r="A8" s="0" t="s">
        <v>9</v>
      </c>
      <c r="B8" s="2" t="n">
        <v>6.2</v>
      </c>
      <c r="C8" s="3" t="n">
        <v>83</v>
      </c>
    </row>
    <row r="9" customFormat="false" ht="15" hidden="false" customHeight="false" outlineLevel="0" collapsed="false">
      <c r="A9" s="0" t="s">
        <v>10</v>
      </c>
      <c r="B9" s="2" t="n">
        <v>6</v>
      </c>
      <c r="C9" s="3" t="n">
        <v>81</v>
      </c>
    </row>
    <row r="10" customFormat="false" ht="15" hidden="false" customHeight="false" outlineLevel="0" collapsed="false">
      <c r="A10" s="0" t="s">
        <v>11</v>
      </c>
      <c r="B10" s="2" t="n">
        <v>7.9</v>
      </c>
      <c r="C10" s="3" t="n">
        <v>79</v>
      </c>
    </row>
    <row r="11" customFormat="false" ht="15" hidden="false" customHeight="false" outlineLevel="0" collapsed="false">
      <c r="A11" s="0" t="s">
        <v>12</v>
      </c>
      <c r="B11" s="2" t="n">
        <v>5.8</v>
      </c>
      <c r="C11" s="3" t="n">
        <v>76</v>
      </c>
    </row>
    <row r="12" customFormat="false" ht="15" hidden="false" customHeight="false" outlineLevel="0" collapsed="false">
      <c r="A12" s="0" t="s">
        <v>13</v>
      </c>
      <c r="B12" s="2" t="n">
        <v>6</v>
      </c>
      <c r="C12" s="3" t="n">
        <v>74</v>
      </c>
    </row>
    <row r="13" customFormat="false" ht="15" hidden="false" customHeight="false" outlineLevel="0" collapsed="false">
      <c r="A13" s="0" t="s">
        <v>14</v>
      </c>
      <c r="B13" s="2" t="n">
        <v>6.1</v>
      </c>
      <c r="C13" s="3" t="n">
        <v>72</v>
      </c>
    </row>
    <row r="15" customFormat="false" ht="15" hidden="false" customHeight="false" outlineLevel="0" collapsed="false">
      <c r="A15" s="4" t="s">
        <v>15</v>
      </c>
    </row>
    <row r="16" customFormat="false" ht="15" hidden="false" customHeight="false" outlineLevel="0" collapsed="false">
      <c r="A16" s="0" t="s">
        <v>16</v>
      </c>
    </row>
    <row r="17" customFormat="false" ht="15" hidden="false" customHeight="false" outlineLevel="0" collapsed="false">
      <c r="A17" s="0" t="s">
        <v>17</v>
      </c>
    </row>
    <row r="18" customFormat="false" ht="15" hidden="false" customHeight="false" outlineLevel="0" collapsed="false">
      <c r="A18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</row>
    <row r="2" customFormat="false" ht="17.35" hidden="false" customHeight="false" outlineLevel="0" collapsed="false">
      <c r="A2" s="5" t="s">
        <v>22</v>
      </c>
      <c r="B2" s="6" t="n">
        <v>4.7</v>
      </c>
      <c r="C2" s="7" t="s">
        <v>23</v>
      </c>
    </row>
    <row r="4" customFormat="false" ht="15" hidden="false" customHeight="false" outlineLevel="0" collapsed="false">
      <c r="A4" s="0" t="s">
        <v>24</v>
      </c>
      <c r="B4" s="2" t="n">
        <v>2</v>
      </c>
      <c r="C4" s="7" t="s">
        <v>25</v>
      </c>
    </row>
    <row r="5" customFormat="false" ht="15" hidden="false" customHeight="false" outlineLevel="0" collapsed="false">
      <c r="A5" s="0" t="s">
        <v>26</v>
      </c>
      <c r="B5" s="2" t="n">
        <v>2.5</v>
      </c>
      <c r="C5" s="7" t="s">
        <v>25</v>
      </c>
    </row>
    <row r="6" customFormat="false" ht="15" hidden="false" customHeight="false" outlineLevel="0" collapsed="false">
      <c r="A6" s="0" t="s">
        <v>27</v>
      </c>
      <c r="B6" s="2" t="n">
        <v>2.5</v>
      </c>
      <c r="C6" s="7" t="s">
        <v>25</v>
      </c>
    </row>
    <row r="7" customFormat="false" ht="15" hidden="false" customHeight="false" outlineLevel="0" collapsed="false">
      <c r="A7" s="0" t="s">
        <v>28</v>
      </c>
      <c r="B7" s="2" t="n">
        <v>3.5</v>
      </c>
      <c r="C7" s="7" t="s">
        <v>25</v>
      </c>
    </row>
    <row r="8" customFormat="false" ht="15" hidden="false" customHeight="false" outlineLevel="0" collapsed="false">
      <c r="A8" s="0" t="s">
        <v>29</v>
      </c>
      <c r="B8" s="2" t="n">
        <v>3.5</v>
      </c>
      <c r="C8" s="7" t="s">
        <v>25</v>
      </c>
    </row>
    <row r="9" customFormat="false" ht="15" hidden="false" customHeight="false" outlineLevel="0" collapsed="false">
      <c r="A9" s="0" t="s">
        <v>30</v>
      </c>
      <c r="B9" s="2" t="n">
        <v>6</v>
      </c>
      <c r="C9" s="7" t="s">
        <v>25</v>
      </c>
    </row>
    <row r="11" customFormat="false" ht="15" hidden="false" customHeight="false" outlineLevel="0" collapsed="false">
      <c r="A11" s="4" t="s">
        <v>31</v>
      </c>
    </row>
    <row r="12" customFormat="false" ht="15" hidden="false" customHeight="false" outlineLevel="0" collapsed="false">
      <c r="A12" s="0" t="s">
        <v>32</v>
      </c>
      <c r="B12" s="8" t="n">
        <f aca="false">((B2-B5)/B5)</f>
        <v>0.88</v>
      </c>
      <c r="C12" s="7" t="s">
        <v>33</v>
      </c>
    </row>
    <row r="13" customFormat="false" ht="15" hidden="false" customHeight="false" outlineLevel="0" collapsed="false">
      <c r="A13" s="0" t="s">
        <v>34</v>
      </c>
      <c r="B13" s="2" t="n">
        <f aca="false">B2-B5</f>
        <v>2.2</v>
      </c>
      <c r="C13" s="7" t="s">
        <v>35</v>
      </c>
    </row>
    <row r="15" customFormat="false" ht="15" hidden="false" customHeight="false" outlineLevel="0" collapsed="false">
      <c r="A15" s="4" t="s">
        <v>36</v>
      </c>
    </row>
    <row r="16" customFormat="false" ht="15" hidden="false" customHeight="false" outlineLevel="0" collapsed="false">
      <c r="A16" s="0" t="s">
        <v>37</v>
      </c>
    </row>
    <row r="17" customFormat="false" ht="15" hidden="false" customHeight="false" outlineLevel="0" collapsed="false">
      <c r="A17" s="0" t="s">
        <v>38</v>
      </c>
    </row>
    <row r="18" customFormat="false" ht="15" hidden="false" customHeight="false" outlineLevel="0" collapsed="false">
      <c r="A18" s="0" t="s">
        <v>39</v>
      </c>
    </row>
    <row r="19" customFormat="false" ht="15" hidden="false" customHeight="false" outlineLevel="0" collapsed="false">
      <c r="A19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9" t="s">
        <v>41</v>
      </c>
    </row>
    <row r="3" customFormat="false" ht="15" hidden="false" customHeight="false" outlineLevel="0" collapsed="false">
      <c r="A3" s="10" t="s">
        <v>42</v>
      </c>
    </row>
    <row r="4" customFormat="false" ht="15" hidden="false" customHeight="false" outlineLevel="0" collapsed="false">
      <c r="A4" s="0" t="s">
        <v>43</v>
      </c>
    </row>
    <row r="5" customFormat="false" ht="15" hidden="false" customHeight="false" outlineLevel="0" collapsed="false">
      <c r="A5" s="0" t="s">
        <v>44</v>
      </c>
    </row>
    <row r="6" customFormat="false" ht="15" hidden="false" customHeight="false" outlineLevel="0" collapsed="false">
      <c r="A6" s="0" t="s">
        <v>45</v>
      </c>
    </row>
    <row r="7" customFormat="false" ht="15" hidden="false" customHeight="false" outlineLevel="0" collapsed="false">
      <c r="A7" s="0" t="s">
        <v>46</v>
      </c>
    </row>
    <row r="8" customFormat="false" ht="15" hidden="false" customHeight="false" outlineLevel="0" collapsed="false">
      <c r="A8" s="0" t="s">
        <v>47</v>
      </c>
    </row>
    <row r="9" customFormat="false" ht="15" hidden="false" customHeight="false" outlineLevel="0" collapsed="false">
      <c r="A9" s="0" t="s">
        <v>48</v>
      </c>
    </row>
    <row r="10" customFormat="false" ht="15" hidden="false" customHeight="false" outlineLevel="0" collapsed="false">
      <c r="A10" s="0" t="s">
        <v>49</v>
      </c>
    </row>
    <row r="11" customFormat="false" ht="15" hidden="false" customHeight="false" outlineLevel="0" collapsed="false">
      <c r="A11" s="0" t="s">
        <v>50</v>
      </c>
    </row>
    <row r="12" customFormat="false" ht="15" hidden="false" customHeight="false" outlineLevel="0" collapsed="false">
      <c r="A12" s="0" t="s">
        <v>51</v>
      </c>
    </row>
    <row r="14" customFormat="false" ht="15" hidden="false" customHeight="false" outlineLevel="0" collapsed="false">
      <c r="A14" s="10" t="s">
        <v>52</v>
      </c>
    </row>
    <row r="15" customFormat="false" ht="15" hidden="false" customHeight="false" outlineLevel="0" collapsed="false">
      <c r="A15" s="0" t="s">
        <v>53</v>
      </c>
    </row>
    <row r="16" customFormat="false" ht="15" hidden="false" customHeight="false" outlineLevel="0" collapsed="false">
      <c r="A16" s="0" t="s">
        <v>54</v>
      </c>
    </row>
    <row r="17" customFormat="false" ht="15" hidden="false" customHeight="false" outlineLevel="0" collapsed="false">
      <c r="A17" s="0" t="s">
        <v>55</v>
      </c>
    </row>
    <row r="18" customFormat="false" ht="15" hidden="false" customHeight="false" outlineLevel="0" collapsed="false">
      <c r="A18" s="0" t="s">
        <v>56</v>
      </c>
    </row>
    <row r="19" customFormat="false" ht="15" hidden="false" customHeight="false" outlineLevel="0" collapsed="false">
      <c r="A19" s="0" t="s">
        <v>57</v>
      </c>
    </row>
    <row r="20" customFormat="false" ht="15" hidden="false" customHeight="false" outlineLevel="0" collapsed="false">
      <c r="A20" s="0" t="s">
        <v>58</v>
      </c>
    </row>
    <row r="21" customFormat="false" ht="15" hidden="false" customHeight="false" outlineLevel="0" collapsed="false">
      <c r="A21" s="0" t="s">
        <v>59</v>
      </c>
    </row>
    <row r="22" customFormat="false" ht="15" hidden="false" customHeight="false" outlineLevel="0" collapsed="false">
      <c r="A22" s="0" t="s">
        <v>60</v>
      </c>
    </row>
    <row r="23" customFormat="false" ht="15" hidden="false" customHeight="false" outlineLevel="0" collapsed="false">
      <c r="A23" s="0" t="s">
        <v>61</v>
      </c>
    </row>
    <row r="24" customFormat="false" ht="15" hidden="false" customHeight="false" outlineLevel="0" collapsed="false">
      <c r="A24" s="0" t="s">
        <v>62</v>
      </c>
    </row>
    <row r="26" customFormat="false" ht="15" hidden="false" customHeight="false" outlineLevel="0" collapsed="false">
      <c r="A26" s="1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2026-02-14T20:56:23Z</dcterms:created>
  <dc:creator>openpyxl</dc:creator>
  <dc:description/>
  <dc:language>en-US</dc:language>
  <cp:lastModifiedBy/>
  <dcterms:modified xsi:type="dcterms:W3CDTF">2026-02-14T20:56:23Z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