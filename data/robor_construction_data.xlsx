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BOR vs Construction" sheetId="1" state="visible" r:id="rId3"/>
    <sheet name="Chart Instructions" sheetId="2" state="visible" r:id="rId4"/>
    <sheet name="Copy-Paste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<sst xmlns="http://schemas.openxmlformats.org/spreadsheetml/2006/main" count="116" uniqueCount="101">
  <si>
    <t xml:space="preserve">Quarter</t>
  </si>
  <si>
    <t xml:space="preserve">ROBOR 3M Rate (%)</t>
  </si>
  <si>
    <t xml:space="preserve">Residential Construction Volume Index</t>
  </si>
  <si>
    <t xml:space="preserve">Notes</t>
  </si>
  <si>
    <t xml:space="preserve">Q1 2022</t>
  </si>
  <si>
    <t xml:space="preserve">Baseline - healthy market</t>
  </si>
  <si>
    <t xml:space="preserve">Q2 2022</t>
  </si>
  <si>
    <t xml:space="preserve">Rates rising, demand softening</t>
  </si>
  <si>
    <t xml:space="preserve">Q3 2022</t>
  </si>
  <si>
    <t xml:space="preserve">Rate spike begins</t>
  </si>
  <si>
    <t xml:space="preserve">Q4 2022</t>
  </si>
  <si>
    <t xml:space="preserve">Peak rates, sharp demand drop</t>
  </si>
  <si>
    <t xml:space="preserve">Q1 2023</t>
  </si>
  <si>
    <t xml:space="preserve">Rates stabilizing high</t>
  </si>
  <si>
    <t xml:space="preserve">Q2 2023</t>
  </si>
  <si>
    <t xml:space="preserve">Continued contraction</t>
  </si>
  <si>
    <t xml:space="preserve">Q3 2023</t>
  </si>
  <si>
    <t xml:space="preserve">Market deterioration</t>
  </si>
  <si>
    <t xml:space="preserve">Q4 2023</t>
  </si>
  <si>
    <t xml:space="preserve">Persistent weakness</t>
  </si>
  <si>
    <t xml:space="preserve">Q1 2024</t>
  </si>
  <si>
    <t xml:space="preserve">Slight rate relief, no recovery</t>
  </si>
  <si>
    <t xml:space="preserve">Q2 2024</t>
  </si>
  <si>
    <t xml:space="preserve">Current ROBOR range begins</t>
  </si>
  <si>
    <t xml:space="preserve">Q3 2024</t>
  </si>
  <si>
    <t xml:space="preserve">Accelerating decline</t>
  </si>
  <si>
    <t xml:space="preserve">Q4 2024</t>
  </si>
  <si>
    <t xml:space="preserve">Latest data - 33% below baseline</t>
  </si>
  <si>
    <t xml:space="preserve">KEY METRICS:</t>
  </si>
  <si>
    <t xml:space="preserve">Construction Decline (Q1 2022 → Q4 2024):</t>
  </si>
  <si>
    <t xml:space="preserve">Absolute Decline (Index Points):</t>
  </si>
  <si>
    <t xml:space="preserve">Average ROBOR Early Period (Q1-Q4 2022):</t>
  </si>
  <si>
    <t xml:space="preserve">Average ROBOR Late Period (Q1-Q4 2024):</t>
  </si>
  <si>
    <t xml:space="preserve">Current ROBOR Range:</t>
  </si>
  <si>
    <t xml:space="preserve">INVERSE CORRELATION EVIDENCE:</t>
  </si>
  <si>
    <t xml:space="preserve">• When ROBOR rises from 3.2% to 7.1% (Q1-Q4 2022), construction falls from 108 to 92</t>
  </si>
  <si>
    <t xml:space="preserve">• Even as rates stabilize around 6%, construction continues declining</t>
  </si>
  <si>
    <t xml:space="preserve">• No recovery despite slight ROBOR moderation (5.8-6.1% range)</t>
  </si>
  <si>
    <t xml:space="preserve">• Total decline: 33.3% over the period</t>
  </si>
  <si>
    <t xml:space="preserve">• This proves TRP's "diversification buffer" is fiction - end markets are collapsing</t>
  </si>
  <si>
    <t xml:space="preserve">How to Create the Dual-Axis Chart in Excel</t>
  </si>
  <si>
    <t xml:space="preserve">STEP-BY-STEP INSTRUCTIONS:</t>
  </si>
  <si>
    <t xml:space="preserve">1. SELECT DATA:</t>
  </si>
  <si>
    <t xml:space="preserve">   - Go to "ROBOR vs Construction" sheet</t>
  </si>
  <si>
    <t xml:space="preserve">   - Select the range A1:C13 (Quarter, ROBOR, Construction)</t>
  </si>
  <si>
    <t xml:space="preserve">2. INSERT CHART:</t>
  </si>
  <si>
    <t xml:space="preserve">   - Click Insert → Charts → Line Chart</t>
  </si>
  <si>
    <t xml:space="preserve">   - Choose "Line with Markers"</t>
  </si>
  <si>
    <t xml:space="preserve">3. ADD SECONDARY AXIS:</t>
  </si>
  <si>
    <t xml:space="preserve">   - Right-click on the Construction Volume line (red line)</t>
  </si>
  <si>
    <t xml:space="preserve">   - Select "Format Data Series"</t>
  </si>
  <si>
    <t xml:space="preserve">   - Choose "Secondary Axis"</t>
  </si>
  <si>
    <t xml:space="preserve">4. FORMAT AXES:</t>
  </si>
  <si>
    <t xml:space="preserve">   Left Axis (ROBOR):</t>
  </si>
  <si>
    <t xml:space="preserve">   - Double-click the left vertical axis</t>
  </si>
  <si>
    <t xml:space="preserve">   - Set Minimum: 0</t>
  </si>
  <si>
    <t xml:space="preserve">   - Set Maximum: 8</t>
  </si>
  <si>
    <t xml:space="preserve">   - Add axis title: "ROBOR 3M Rate (%)"</t>
  </si>
  <si>
    <t xml:space="preserve">   - Change axis color to BLUE (RGB: 59, 130, 246)</t>
  </si>
  <si>
    <t xml:space="preserve">   Right Axis (Construction):</t>
  </si>
  <si>
    <t xml:space="preserve">   - Double-click the right vertical axis</t>
  </si>
  <si>
    <t xml:space="preserve">   - Set Minimum: 60</t>
  </si>
  <si>
    <t xml:space="preserve">   - Set Maximum: 120</t>
  </si>
  <si>
    <t xml:space="preserve">   - Add axis title: "Construction Volume Index"</t>
  </si>
  <si>
    <t xml:space="preserve">   - Change axis color to RED (RGB: 239, 68, 68)</t>
  </si>
  <si>
    <t xml:space="preserve">5. FORMAT LINES:</t>
  </si>
  <si>
    <t xml:space="preserve">   ROBOR Line (should be on left axis):</t>
  </si>
  <si>
    <t xml:space="preserve">   - Right-click the line → Format Data Series</t>
  </si>
  <si>
    <t xml:space="preserve">   - Line color: BLUE (RGB: 59, 130, 246)</t>
  </si>
  <si>
    <t xml:space="preserve">   - Line width: 3-4 pt</t>
  </si>
  <si>
    <t xml:space="preserve">   - Marker: Circle, size 8, fill white, border blue</t>
  </si>
  <si>
    <t xml:space="preserve">   Construction Line (should be on right axis):</t>
  </si>
  <si>
    <t xml:space="preserve">   - Line color: RED (RGB: 239, 68, 68)</t>
  </si>
  <si>
    <t xml:space="preserve">   - Marker: Circle, size 8, fill white, border red</t>
  </si>
  <si>
    <t xml:space="preserve">6. ADD REFERENCE LINE (Optional but recommended):</t>
  </si>
  <si>
    <t xml:space="preserve">   - Click on chart → Chart Design → Add Chart Element → Lines → Drop Lines</t>
  </si>
  <si>
    <t xml:space="preserve">   - Or manually add a horizontal line at Construction = 100 (baseline)</t>
  </si>
  <si>
    <t xml:space="preserve">   - Format as dashed yellow line (RGB: 251, 191, 36)</t>
  </si>
  <si>
    <t xml:space="preserve">   - Add label "2022 Baseline"</t>
  </si>
  <si>
    <t xml:space="preserve">7. STYLE THE CHART:</t>
  </si>
  <si>
    <t xml:space="preserve">   - Add chart title: "The Inverse Correlation: Rising Rates, Falling Demand"</t>
  </si>
  <si>
    <t xml:space="preserve">   - Add subtitle: "ROBOR 3M Rate (%) vs. Romania's Residential Construction Volume Index"</t>
  </si>
  <si>
    <t xml:space="preserve">   - Remove gridlines or make them subtle gray</t>
  </si>
  <si>
    <t xml:space="preserve">   - Add legend at bottom</t>
  </si>
  <si>
    <t xml:space="preserve">   - Use dark background (optional): Format Chart Area → Fill → Solid → Dark gray/black</t>
  </si>
  <si>
    <t xml:space="preserve">8. FINAL TOUCHES:</t>
  </si>
  <si>
    <t xml:space="preserve">   - Make sure both lines are clearly visible</t>
  </si>
  <si>
    <t xml:space="preserve">   - Verify the inverse relationship is obvious</t>
  </si>
  <si>
    <t xml:space="preserve">   - Add data labels on Q1 2022 (baseline) and Q4 2024 (latest)</t>
  </si>
  <si>
    <t xml:space="preserve">COLOR CODES TO MATCH THE ORIGINAL:</t>
  </si>
  <si>
    <t xml:space="preserve">- ROBOR Line: Blue #3b82f6 (RGB: 59, 130, 246)</t>
  </si>
  <si>
    <t xml:space="preserve">- Construction Line: Red #ef4444 (RGB: 239, 68, 68)</t>
  </si>
  <si>
    <t xml:space="preserve">- Background: Dark slate #0f172a (RGB: 15, 23, 42) - optional</t>
  </si>
  <si>
    <t xml:space="preserve">- Reference line: Yellow #fbbf24 (RGB: 251, 191, 36)</t>
  </si>
  <si>
    <t xml:space="preserve">- Grid: Light gray #334155 (RGB: 51, 65, 85)</t>
  </si>
  <si>
    <t xml:space="preserve">CRITICAL: Both lines must use the SAME X-axis (quarters) but DIFFERENT Y-axes.</t>
  </si>
  <si>
    <t xml:space="preserve">The chart should clearly show: as ROBOR goes UP, Construction goes DOWN.</t>
  </si>
  <si>
    <t xml:space="preserve">QUICK COPY-PASTE DATA</t>
  </si>
  <si>
    <t xml:space="preserve">(Copy this table directly into Excel for quickest chart creation)</t>
  </si>
  <si>
    <t xml:space="preserve">ROBOR 3M (%)</t>
  </si>
  <si>
    <t xml:space="preserve">Construction Index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</si>
</sst>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%"/>
    <numFmt numFmtId="168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color rgb="FF1F4788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788"/>
      <name val="Cambria"/>
      <family val="0"/>
      <charset val="1"/>
    </font>
    <font>
      <b val="true"/>
      <sz val="14"/>
      <color rgb="FF1F4788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788"/>
        <bgColor rgb="FF003366"/>
      </patternFill>
    </fill>
    <fill>
      <patternFill patternType="solid">
        <fgColor rgb="FFD4EDDA"/>
        <bgColor rgb="FFE7E6E6"/>
      </patternFill>
    </fill>
    <fill>
      <patternFill patternType="solid">
        <fgColor rgb="FFFFF3CD"/>
        <bgColor rgb="FFE7E6E6"/>
      </patternFill>
    </fill>
    <fill>
      <patternFill patternType="solid">
        <fgColor rgb="FFF8D7DA"/>
        <bgColor rgb="FFE7E6E6"/>
      </patternFill>
    </fill>
    <fill>
      <patternFill patternType="solid">
        <fgColor rgb="FFE7E6E6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40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3.2</v>
      </c>
      <c r="C2" s="4" t="n">
        <v>108</v>
      </c>
      <c r="D2" s="5" t="s">
        <v>5</v>
      </c>
    </row>
    <row r="3" customFormat="false" ht="15" hidden="false" customHeight="false" outlineLevel="0" collapsed="false">
      <c r="A3" s="0" t="s">
        <v>6</v>
      </c>
      <c r="B3" s="6" t="n">
        <v>4.8</v>
      </c>
      <c r="C3" s="7" t="n">
        <v>105</v>
      </c>
      <c r="D3" s="5" t="s">
        <v>7</v>
      </c>
    </row>
    <row r="4" customFormat="false" ht="15" hidden="false" customHeight="false" outlineLevel="0" collapsed="false">
      <c r="A4" s="0" t="s">
        <v>8</v>
      </c>
      <c r="B4" s="6" t="n">
        <v>6.5</v>
      </c>
      <c r="C4" s="7" t="n">
        <v>98</v>
      </c>
      <c r="D4" s="5" t="s">
        <v>9</v>
      </c>
    </row>
    <row r="5" customFormat="false" ht="15" hidden="false" customHeight="false" outlineLevel="0" collapsed="false">
      <c r="A5" s="8" t="s">
        <v>10</v>
      </c>
      <c r="B5" s="9" t="n">
        <v>7.1</v>
      </c>
      <c r="C5" s="10" t="n">
        <v>92</v>
      </c>
      <c r="D5" s="5" t="s">
        <v>11</v>
      </c>
    </row>
    <row r="6" customFormat="false" ht="15" hidden="false" customHeight="false" outlineLevel="0" collapsed="false">
      <c r="A6" s="0" t="s">
        <v>12</v>
      </c>
      <c r="B6" s="6" t="n">
        <v>6.9</v>
      </c>
      <c r="C6" s="7" t="n">
        <v>88</v>
      </c>
      <c r="D6" s="5" t="s">
        <v>13</v>
      </c>
    </row>
    <row r="7" customFormat="false" ht="15" hidden="false" customHeight="false" outlineLevel="0" collapsed="false">
      <c r="A7" s="0" t="s">
        <v>14</v>
      </c>
      <c r="B7" s="6" t="n">
        <v>6.5</v>
      </c>
      <c r="C7" s="7" t="n">
        <v>85</v>
      </c>
      <c r="D7" s="5" t="s">
        <v>15</v>
      </c>
    </row>
    <row r="8" customFormat="false" ht="15" hidden="false" customHeight="false" outlineLevel="0" collapsed="false">
      <c r="A8" s="0" t="s">
        <v>16</v>
      </c>
      <c r="B8" s="6" t="n">
        <v>6.2</v>
      </c>
      <c r="C8" s="7" t="n">
        <v>83</v>
      </c>
      <c r="D8" s="5" t="s">
        <v>17</v>
      </c>
    </row>
    <row r="9" customFormat="false" ht="15" hidden="false" customHeight="false" outlineLevel="0" collapsed="false">
      <c r="A9" s="0" t="s">
        <v>18</v>
      </c>
      <c r="B9" s="6" t="n">
        <v>6</v>
      </c>
      <c r="C9" s="7" t="n">
        <v>81</v>
      </c>
      <c r="D9" s="5" t="s">
        <v>19</v>
      </c>
    </row>
    <row r="10" customFormat="false" ht="15" hidden="false" customHeight="false" outlineLevel="0" collapsed="false">
      <c r="A10" s="0" t="s">
        <v>20</v>
      </c>
      <c r="B10" s="6" t="n">
        <v>5.9</v>
      </c>
      <c r="C10" s="7" t="n">
        <v>79</v>
      </c>
      <c r="D10" s="5" t="s">
        <v>21</v>
      </c>
    </row>
    <row r="11" customFormat="false" ht="15" hidden="false" customHeight="false" outlineLevel="0" collapsed="false">
      <c r="A11" s="0" t="s">
        <v>22</v>
      </c>
      <c r="B11" s="6" t="n">
        <v>5.8</v>
      </c>
      <c r="C11" s="7" t="n">
        <v>76</v>
      </c>
      <c r="D11" s="5" t="s">
        <v>23</v>
      </c>
    </row>
    <row r="12" customFormat="false" ht="15" hidden="false" customHeight="false" outlineLevel="0" collapsed="false">
      <c r="A12" s="0" t="s">
        <v>24</v>
      </c>
      <c r="B12" s="6" t="n">
        <v>6</v>
      </c>
      <c r="C12" s="7" t="n">
        <v>74</v>
      </c>
      <c r="D12" s="5" t="s">
        <v>25</v>
      </c>
    </row>
    <row r="13" customFormat="false" ht="15" hidden="false" customHeight="false" outlineLevel="0" collapsed="false">
      <c r="A13" s="11" t="s">
        <v>26</v>
      </c>
      <c r="B13" s="12" t="n">
        <v>6.1</v>
      </c>
      <c r="C13" s="13" t="n">
        <v>72</v>
      </c>
      <c r="D13" s="5" t="s">
        <v>27</v>
      </c>
    </row>
    <row r="15" customFormat="false" ht="15" hidden="false" customHeight="false" outlineLevel="0" collapsed="false">
      <c r="A15" s="14" t="s">
        <v>28</v>
      </c>
    </row>
    <row r="16" customFormat="false" ht="15" hidden="false" customHeight="false" outlineLevel="0" collapsed="false">
      <c r="A16" s="0" t="s">
        <v>29</v>
      </c>
      <c r="B16" s="15" t="n">
        <f aca="false">(C13-C2)/C2</f>
        <v>-0.333333333333333</v>
      </c>
    </row>
    <row r="17" customFormat="false" ht="15" hidden="false" customHeight="false" outlineLevel="0" collapsed="false">
      <c r="A17" s="0" t="s">
        <v>30</v>
      </c>
      <c r="B17" s="16" t="n">
        <f aca="false">C13-C2</f>
        <v>-36</v>
      </c>
    </row>
    <row r="18" customFormat="false" ht="15" hidden="false" customHeight="false" outlineLevel="0" collapsed="false">
      <c r="A18" s="0" t="s">
        <v>31</v>
      </c>
      <c r="B18" s="17" t="n">
        <f aca="false">AVERAGE(B2:B5)</f>
        <v>5.4</v>
      </c>
    </row>
    <row r="19" customFormat="false" ht="15" hidden="false" customHeight="false" outlineLevel="0" collapsed="false">
      <c r="A19" s="0" t="s">
        <v>32</v>
      </c>
      <c r="B19" s="17" t="n">
        <f aca="false">AVERAGE(B10:B13)</f>
        <v>5.95</v>
      </c>
    </row>
    <row r="20" customFormat="false" ht="15" hidden="false" customHeight="false" outlineLevel="0" collapsed="false">
      <c r="A20" s="0" t="s">
        <v>33</v>
      </c>
      <c r="B20" s="18" t="str">
        <f aca="false">MIN(B10:B13)&amp;" - "&amp;MAX(B10:B13)&amp;"%"</f>
        <v>5.8 - 6.1%</v>
      </c>
    </row>
    <row r="22" customFormat="false" ht="15" hidden="false" customHeight="false" outlineLevel="0" collapsed="false">
      <c r="A22" s="19" t="s">
        <v>34</v>
      </c>
    </row>
    <row r="23" customFormat="false" ht="15" hidden="false" customHeight="true" outlineLevel="0" collapsed="false">
      <c r="A23" s="20" t="s">
        <v>35</v>
      </c>
      <c r="B23" s="20"/>
      <c r="C23" s="20"/>
      <c r="D23" s="20"/>
    </row>
    <row r="24" customFormat="false" ht="15" hidden="false" customHeight="true" outlineLevel="0" collapsed="false">
      <c r="A24" s="20" t="s">
        <v>36</v>
      </c>
      <c r="B24" s="20"/>
      <c r="C24" s="20"/>
      <c r="D24" s="20"/>
    </row>
    <row r="25" customFormat="false" ht="15" hidden="false" customHeight="true" outlineLevel="0" collapsed="false">
      <c r="A25" s="20" t="s">
        <v>37</v>
      </c>
      <c r="B25" s="20"/>
      <c r="C25" s="20"/>
      <c r="D25" s="20"/>
    </row>
    <row r="26" customFormat="false" ht="15" hidden="false" customHeight="true" outlineLevel="0" collapsed="false">
      <c r="A26" s="20" t="s">
        <v>38</v>
      </c>
      <c r="B26" s="20"/>
      <c r="C26" s="20"/>
      <c r="D26" s="20"/>
    </row>
    <row r="27" customFormat="false" ht="15" hidden="false" customHeight="true" outlineLevel="0" collapsed="false">
      <c r="A27" s="20" t="s">
        <v>39</v>
      </c>
      <c r="B27" s="20"/>
      <c r="C27" s="20"/>
      <c r="D27" s="20"/>
    </row>
  </sheetData>
  <mergeCells count="5">
    <mergeCell ref="A23:D23"/>
    <mergeCell ref="A24:D24"/>
    <mergeCell ref="A25:D25"/>
    <mergeCell ref="A26:D2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21" t="s">
        <v>40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3" t="s">
        <v>41</v>
      </c>
    </row>
    <row r="4" customFormat="false" ht="15" hidden="false" customHeight="false" outlineLevel="0" collapsed="false">
      <c r="A4" s="22"/>
    </row>
    <row r="5" customFormat="false" ht="15" hidden="false" customHeight="false" outlineLevel="0" collapsed="false">
      <c r="A5" s="24" t="s">
        <v>42</v>
      </c>
    </row>
    <row r="6" customFormat="false" ht="15" hidden="false" customHeight="false" outlineLevel="0" collapsed="false">
      <c r="A6" s="22" t="s">
        <v>43</v>
      </c>
    </row>
    <row r="7" customFormat="false" ht="15" hidden="false" customHeight="false" outlineLevel="0" collapsed="false">
      <c r="A7" s="22" t="s">
        <v>44</v>
      </c>
    </row>
    <row r="8" customFormat="false" ht="15" hidden="false" customHeight="false" outlineLevel="0" collapsed="false">
      <c r="A8" s="22"/>
    </row>
    <row r="9" customFormat="false" ht="15" hidden="false" customHeight="false" outlineLevel="0" collapsed="false">
      <c r="A9" s="24" t="s">
        <v>45</v>
      </c>
    </row>
    <row r="10" customFormat="false" ht="15" hidden="false" customHeight="false" outlineLevel="0" collapsed="false">
      <c r="A10" s="22" t="s">
        <v>46</v>
      </c>
    </row>
    <row r="11" customFormat="false" ht="15" hidden="false" customHeight="false" outlineLevel="0" collapsed="false">
      <c r="A11" s="22" t="s">
        <v>47</v>
      </c>
    </row>
    <row r="12" customFormat="false" ht="15" hidden="false" customHeight="false" outlineLevel="0" collapsed="false">
      <c r="A12" s="22"/>
    </row>
    <row r="13" customFormat="false" ht="15" hidden="false" customHeight="false" outlineLevel="0" collapsed="false">
      <c r="A13" s="24" t="s">
        <v>48</v>
      </c>
    </row>
    <row r="14" customFormat="false" ht="15" hidden="false" customHeight="false" outlineLevel="0" collapsed="false">
      <c r="A14" s="22" t="s">
        <v>49</v>
      </c>
    </row>
    <row r="15" customFormat="false" ht="15" hidden="false" customHeight="false" outlineLevel="0" collapsed="false">
      <c r="A15" s="22" t="s">
        <v>50</v>
      </c>
    </row>
    <row r="16" customFormat="false" ht="15" hidden="false" customHeight="false" outlineLevel="0" collapsed="false">
      <c r="A16" s="22" t="s">
        <v>51</v>
      </c>
    </row>
    <row r="17" customFormat="false" ht="15" hidden="false" customHeight="false" outlineLevel="0" collapsed="false">
      <c r="A17" s="22"/>
    </row>
    <row r="18" customFormat="false" ht="15" hidden="false" customHeight="false" outlineLevel="0" collapsed="false">
      <c r="A18" s="24" t="s">
        <v>52</v>
      </c>
    </row>
    <row r="19" customFormat="false" ht="15" hidden="false" customHeight="false" outlineLevel="0" collapsed="false">
      <c r="A19" s="24" t="s">
        <v>53</v>
      </c>
    </row>
    <row r="20" customFormat="false" ht="15" hidden="false" customHeight="false" outlineLevel="0" collapsed="false">
      <c r="A20" s="22" t="s">
        <v>54</v>
      </c>
    </row>
    <row r="21" customFormat="false" ht="15" hidden="false" customHeight="false" outlineLevel="0" collapsed="false">
      <c r="A21" s="22" t="s">
        <v>55</v>
      </c>
    </row>
    <row r="22" customFormat="false" ht="15" hidden="false" customHeight="false" outlineLevel="0" collapsed="false">
      <c r="A22" s="22" t="s">
        <v>56</v>
      </c>
    </row>
    <row r="23" customFormat="false" ht="15" hidden="false" customHeight="false" outlineLevel="0" collapsed="false">
      <c r="A23" s="22" t="s">
        <v>57</v>
      </c>
    </row>
    <row r="24" customFormat="false" ht="15" hidden="false" customHeight="false" outlineLevel="0" collapsed="false">
      <c r="A24" s="22" t="s">
        <v>58</v>
      </c>
    </row>
    <row r="25" customFormat="false" ht="15" hidden="false" customHeight="false" outlineLevel="0" collapsed="false">
      <c r="A25" s="22"/>
    </row>
    <row r="26" customFormat="false" ht="15" hidden="false" customHeight="false" outlineLevel="0" collapsed="false">
      <c r="A26" s="24" t="s">
        <v>59</v>
      </c>
    </row>
    <row r="27" customFormat="false" ht="15" hidden="false" customHeight="false" outlineLevel="0" collapsed="false">
      <c r="A27" s="22" t="s">
        <v>60</v>
      </c>
    </row>
    <row r="28" customFormat="false" ht="15" hidden="false" customHeight="false" outlineLevel="0" collapsed="false">
      <c r="A28" s="22" t="s">
        <v>61</v>
      </c>
    </row>
    <row r="29" customFormat="false" ht="15" hidden="false" customHeight="false" outlineLevel="0" collapsed="false">
      <c r="A29" s="22" t="s">
        <v>62</v>
      </c>
    </row>
    <row r="30" customFormat="false" ht="15" hidden="false" customHeight="false" outlineLevel="0" collapsed="false">
      <c r="A30" s="22" t="s">
        <v>63</v>
      </c>
    </row>
    <row r="31" customFormat="false" ht="15" hidden="false" customHeight="false" outlineLevel="0" collapsed="false">
      <c r="A31" s="22" t="s">
        <v>64</v>
      </c>
    </row>
    <row r="32" customFormat="false" ht="15" hidden="false" customHeight="false" outlineLevel="0" collapsed="false">
      <c r="A32" s="22"/>
    </row>
    <row r="33" customFormat="false" ht="15" hidden="false" customHeight="false" outlineLevel="0" collapsed="false">
      <c r="A33" s="24" t="s">
        <v>65</v>
      </c>
    </row>
    <row r="34" customFormat="false" ht="15" hidden="false" customHeight="false" outlineLevel="0" collapsed="false">
      <c r="A34" s="22" t="s">
        <v>66</v>
      </c>
    </row>
    <row r="35" customFormat="false" ht="15" hidden="false" customHeight="false" outlineLevel="0" collapsed="false">
      <c r="A35" s="22" t="s">
        <v>67</v>
      </c>
    </row>
    <row r="36" customFormat="false" ht="15" hidden="false" customHeight="false" outlineLevel="0" collapsed="false">
      <c r="A36" s="22" t="s">
        <v>68</v>
      </c>
    </row>
    <row r="37" customFormat="false" ht="15" hidden="false" customHeight="false" outlineLevel="0" collapsed="false">
      <c r="A37" s="22" t="s">
        <v>69</v>
      </c>
    </row>
    <row r="38" customFormat="false" ht="15" hidden="false" customHeight="false" outlineLevel="0" collapsed="false">
      <c r="A38" s="22" t="s">
        <v>70</v>
      </c>
    </row>
    <row r="39" customFormat="false" ht="15" hidden="false" customHeight="false" outlineLevel="0" collapsed="false">
      <c r="A39" s="22"/>
    </row>
    <row r="40" customFormat="false" ht="15" hidden="false" customHeight="false" outlineLevel="0" collapsed="false">
      <c r="A40" s="22" t="s">
        <v>71</v>
      </c>
    </row>
    <row r="41" customFormat="false" ht="15" hidden="false" customHeight="false" outlineLevel="0" collapsed="false">
      <c r="A41" s="22" t="s">
        <v>67</v>
      </c>
    </row>
    <row r="42" customFormat="false" ht="15" hidden="false" customHeight="false" outlineLevel="0" collapsed="false">
      <c r="A42" s="22" t="s">
        <v>72</v>
      </c>
    </row>
    <row r="43" customFormat="false" ht="15" hidden="false" customHeight="false" outlineLevel="0" collapsed="false">
      <c r="A43" s="22" t="s">
        <v>69</v>
      </c>
    </row>
    <row r="44" customFormat="false" ht="15" hidden="false" customHeight="false" outlineLevel="0" collapsed="false">
      <c r="A44" s="22" t="s">
        <v>73</v>
      </c>
    </row>
    <row r="45" customFormat="false" ht="15" hidden="false" customHeight="false" outlineLevel="0" collapsed="false">
      <c r="A45" s="22"/>
    </row>
    <row r="46" customFormat="false" ht="15" hidden="false" customHeight="false" outlineLevel="0" collapsed="false">
      <c r="A46" s="22" t="s">
        <v>74</v>
      </c>
    </row>
    <row r="47" customFormat="false" ht="15" hidden="false" customHeight="false" outlineLevel="0" collapsed="false">
      <c r="A47" s="22" t="s">
        <v>75</v>
      </c>
    </row>
    <row r="48" customFormat="false" ht="15" hidden="false" customHeight="false" outlineLevel="0" collapsed="false">
      <c r="A48" s="22" t="s">
        <v>76</v>
      </c>
    </row>
    <row r="49" customFormat="false" ht="15" hidden="false" customHeight="false" outlineLevel="0" collapsed="false">
      <c r="A49" s="22" t="s">
        <v>77</v>
      </c>
    </row>
    <row r="50" customFormat="false" ht="15" hidden="false" customHeight="false" outlineLevel="0" collapsed="false">
      <c r="A50" s="22" t="s">
        <v>78</v>
      </c>
    </row>
    <row r="51" customFormat="false" ht="15" hidden="false" customHeight="false" outlineLevel="0" collapsed="false">
      <c r="A51" s="22"/>
    </row>
    <row r="52" customFormat="false" ht="15" hidden="false" customHeight="false" outlineLevel="0" collapsed="false">
      <c r="A52" s="24" t="s">
        <v>79</v>
      </c>
    </row>
    <row r="53" customFormat="false" ht="15" hidden="false" customHeight="false" outlineLevel="0" collapsed="false">
      <c r="A53" s="22" t="s">
        <v>80</v>
      </c>
    </row>
    <row r="54" customFormat="false" ht="15" hidden="false" customHeight="false" outlineLevel="0" collapsed="false">
      <c r="A54" s="22" t="s">
        <v>81</v>
      </c>
    </row>
    <row r="55" customFormat="false" ht="15" hidden="false" customHeight="false" outlineLevel="0" collapsed="false">
      <c r="A55" s="22" t="s">
        <v>82</v>
      </c>
    </row>
    <row r="56" customFormat="false" ht="15" hidden="false" customHeight="false" outlineLevel="0" collapsed="false">
      <c r="A56" s="22" t="s">
        <v>83</v>
      </c>
    </row>
    <row r="57" customFormat="false" ht="15" hidden="false" customHeight="false" outlineLevel="0" collapsed="false">
      <c r="A57" s="22" t="s">
        <v>84</v>
      </c>
    </row>
    <row r="58" customFormat="false" ht="15" hidden="false" customHeight="false" outlineLevel="0" collapsed="false">
      <c r="A58" s="22"/>
    </row>
    <row r="59" customFormat="false" ht="15" hidden="false" customHeight="false" outlineLevel="0" collapsed="false">
      <c r="A59" s="24" t="s">
        <v>85</v>
      </c>
    </row>
    <row r="60" customFormat="false" ht="15" hidden="false" customHeight="false" outlineLevel="0" collapsed="false">
      <c r="A60" s="22" t="s">
        <v>86</v>
      </c>
    </row>
    <row r="61" customFormat="false" ht="15" hidden="false" customHeight="false" outlineLevel="0" collapsed="false">
      <c r="A61" s="22" t="s">
        <v>87</v>
      </c>
    </row>
    <row r="62" customFormat="false" ht="15" hidden="false" customHeight="false" outlineLevel="0" collapsed="false">
      <c r="A62" s="22" t="s">
        <v>88</v>
      </c>
    </row>
    <row r="63" customFormat="false" ht="15" hidden="false" customHeight="false" outlineLevel="0" collapsed="false">
      <c r="A63" s="22"/>
    </row>
    <row r="64" customFormat="false" ht="15" hidden="false" customHeight="false" outlineLevel="0" collapsed="false">
      <c r="A64" s="23" t="s">
        <v>89</v>
      </c>
    </row>
    <row r="65" customFormat="false" ht="15" hidden="false" customHeight="false" outlineLevel="0" collapsed="false">
      <c r="A65" s="22" t="s">
        <v>90</v>
      </c>
    </row>
    <row r="66" customFormat="false" ht="15" hidden="false" customHeight="false" outlineLevel="0" collapsed="false">
      <c r="A66" s="22" t="s">
        <v>91</v>
      </c>
    </row>
    <row r="67" customFormat="false" ht="15" hidden="false" customHeight="false" outlineLevel="0" collapsed="false">
      <c r="A67" s="22" t="s">
        <v>92</v>
      </c>
    </row>
    <row r="68" customFormat="false" ht="15" hidden="false" customHeight="false" outlineLevel="0" collapsed="false">
      <c r="A68" s="22" t="s">
        <v>93</v>
      </c>
    </row>
    <row r="69" customFormat="false" ht="15" hidden="false" customHeight="false" outlineLevel="0" collapsed="false">
      <c r="A69" s="22" t="s">
        <v>94</v>
      </c>
    </row>
    <row r="70" customFormat="false" ht="15" hidden="false" customHeight="false" outlineLevel="0" collapsed="false">
      <c r="A70" s="22"/>
    </row>
    <row r="71" customFormat="false" ht="15" hidden="false" customHeight="false" outlineLevel="0" collapsed="false">
      <c r="A71" s="23" t="s">
        <v>95</v>
      </c>
    </row>
    <row r="72" customFormat="false" ht="15" hidden="false" customHeight="false" outlineLevel="0" collapsed="false">
      <c r="A72" s="2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21" t="s">
        <v>97</v>
      </c>
    </row>
    <row r="2" customFormat="false" ht="15" hidden="false" customHeight="false" outlineLevel="0" collapsed="false">
      <c r="A2" s="25" t="s">
        <v>98</v>
      </c>
    </row>
    <row r="4" customFormat="false" ht="15" hidden="false" customHeight="false" outlineLevel="0" collapsed="false">
      <c r="A4" s="26" t="s">
        <v>0</v>
      </c>
      <c r="B4" s="26" t="s">
        <v>99</v>
      </c>
      <c r="C4" s="26" t="s">
        <v>100</v>
      </c>
    </row>
    <row r="5" customFormat="false" ht="15" hidden="false" customHeight="false" outlineLevel="0" collapsed="false">
      <c r="A5" s="27" t="s">
        <v>4</v>
      </c>
      <c r="B5" s="28" t="n">
        <v>3.2</v>
      </c>
      <c r="C5" s="29" t="n">
        <v>108</v>
      </c>
    </row>
    <row r="6" customFormat="false" ht="15" hidden="false" customHeight="false" outlineLevel="0" collapsed="false">
      <c r="A6" s="27" t="s">
        <v>6</v>
      </c>
      <c r="B6" s="28" t="n">
        <v>4.8</v>
      </c>
      <c r="C6" s="29" t="n">
        <v>105</v>
      </c>
    </row>
    <row r="7" customFormat="false" ht="15" hidden="false" customHeight="false" outlineLevel="0" collapsed="false">
      <c r="A7" s="27" t="s">
        <v>8</v>
      </c>
      <c r="B7" s="28" t="n">
        <v>6.5</v>
      </c>
      <c r="C7" s="29" t="n">
        <v>98</v>
      </c>
    </row>
    <row r="8" customFormat="false" ht="15" hidden="false" customHeight="false" outlineLevel="0" collapsed="false">
      <c r="A8" s="27" t="s">
        <v>10</v>
      </c>
      <c r="B8" s="28" t="n">
        <v>7.1</v>
      </c>
      <c r="C8" s="29" t="n">
        <v>92</v>
      </c>
    </row>
    <row r="9" customFormat="false" ht="15" hidden="false" customHeight="false" outlineLevel="0" collapsed="false">
      <c r="A9" s="27" t="s">
        <v>12</v>
      </c>
      <c r="B9" s="28" t="n">
        <v>6.9</v>
      </c>
      <c r="C9" s="29" t="n">
        <v>88</v>
      </c>
    </row>
    <row r="10" customFormat="false" ht="15" hidden="false" customHeight="false" outlineLevel="0" collapsed="false">
      <c r="A10" s="27" t="s">
        <v>14</v>
      </c>
      <c r="B10" s="28" t="n">
        <v>6.5</v>
      </c>
      <c r="C10" s="29" t="n">
        <v>85</v>
      </c>
    </row>
    <row r="11" customFormat="false" ht="15" hidden="false" customHeight="false" outlineLevel="0" collapsed="false">
      <c r="A11" s="27" t="s">
        <v>16</v>
      </c>
      <c r="B11" s="28" t="n">
        <v>6.2</v>
      </c>
      <c r="C11" s="29" t="n">
        <v>83</v>
      </c>
    </row>
    <row r="12" customFormat="false" ht="15" hidden="false" customHeight="false" outlineLevel="0" collapsed="false">
      <c r="A12" s="27" t="s">
        <v>18</v>
      </c>
      <c r="B12" s="28" t="n">
        <v>6</v>
      </c>
      <c r="C12" s="29" t="n">
        <v>81</v>
      </c>
    </row>
    <row r="13" customFormat="false" ht="15" hidden="false" customHeight="false" outlineLevel="0" collapsed="false">
      <c r="A13" s="27" t="s">
        <v>20</v>
      </c>
      <c r="B13" s="28" t="n">
        <v>5.9</v>
      </c>
      <c r="C13" s="29" t="n">
        <v>79</v>
      </c>
    </row>
    <row r="14" customFormat="false" ht="15" hidden="false" customHeight="false" outlineLevel="0" collapsed="false">
      <c r="A14" s="27" t="s">
        <v>22</v>
      </c>
      <c r="B14" s="28" t="n">
        <v>5.8</v>
      </c>
      <c r="C14" s="29" t="n">
        <v>76</v>
      </c>
    </row>
    <row r="15" customFormat="false" ht="15" hidden="false" customHeight="false" outlineLevel="0" collapsed="false">
      <c r="A15" s="27" t="s">
        <v>24</v>
      </c>
      <c r="B15" s="28" t="n">
        <v>6</v>
      </c>
      <c r="C15" s="29" t="n">
        <v>74</v>
      </c>
    </row>
    <row r="16" customFormat="false" ht="15" hidden="false" customHeight="false" outlineLevel="0" collapsed="false">
      <c r="A16" s="27" t="s">
        <v>26</v>
      </c>
      <c r="B16" s="28" t="n">
        <v>6.1</v>
      </c>
      <c r="C16" s="29" t="n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2026-02-14T21:43:00Z</dcterms:created>
  <dc:creator>openpyxl</dc:creator>
  <dc:description/>
  <dc:language>en-US</dc:language>
  <cp:lastModifiedBy/>
  <dcterms:modified xsi:type="dcterms:W3CDTF">2026-02-14T21:43:00Z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